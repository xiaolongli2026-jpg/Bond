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3"/>
  </bookViews>
  <sheets>
    <sheet name="说明" sheetId="3" r:id="rId1"/>
    <sheet name="入参表-通用" sheetId="8" r:id="rId2"/>
    <sheet name="默认参数配置表-通用" sheetId="5" r:id="rId3"/>
    <sheet name="输出表-通用" sheetId="1" r:id="rId4"/>
    <sheet name="数据检查表-生产" sheetId="10" r:id="rId5"/>
    <sheet name="枚举值" sheetId="2" r:id="rId6"/>
  </sheets>
  <calcPr calcId="144525"/>
</workbook>
</file>

<file path=xl/comments1.xml><?xml version="1.0" encoding="utf-8"?>
<comments xmlns="http://schemas.openxmlformats.org/spreadsheetml/2006/main">
  <authors>
    <author>作者</author>
  </authors>
  <commentList>
    <comment ref="K1" authorId="0">
      <text>
        <r>
          <rPr>
            <b/>
            <sz val="9"/>
            <rFont val="宋体"/>
            <charset val="134"/>
          </rPr>
          <t>作者:</t>
        </r>
        <r>
          <rPr>
            <sz val="9"/>
            <rFont val="宋体"/>
            <charset val="134"/>
          </rPr>
          <t xml:space="preserve">
如果没有说明则对填写没有限制，如果有condition，表示满足条件时必填</t>
        </r>
      </text>
    </comment>
    <comment ref="M1" authorId="0">
      <text>
        <r>
          <rPr>
            <b/>
            <sz val="9"/>
            <rFont val="宋体"/>
            <charset val="134"/>
          </rPr>
          <t>作者:</t>
        </r>
        <r>
          <rPr>
            <sz val="9"/>
            <rFont val="宋体"/>
            <charset val="134"/>
          </rPr>
          <t xml:space="preserve">
默认值
</t>
        </r>
      </text>
    </comment>
    <comment ref="A2" authorId="0">
      <text>
        <r>
          <rPr>
            <b/>
            <sz val="9"/>
            <rFont val="宋体"/>
            <charset val="134"/>
          </rPr>
          <t>作者:</t>
        </r>
        <r>
          <rPr>
            <sz val="9"/>
            <rFont val="宋体"/>
            <charset val="134"/>
          </rPr>
          <t xml:space="preserve">
根据SCENARIO_TYPE,MODEL_TYPE,RECAL_CASHFLOW的不同，需要输入和保存不同的参数，具体见`module_abs_new.py`中`abs_calculator`的docstring
</t>
        </r>
      </text>
    </comment>
    <comment ref="G3" authorId="0">
      <text>
        <r>
          <rPr>
            <b/>
            <sz val="9"/>
            <rFont val="宋体"/>
            <charset val="134"/>
          </rPr>
          <t>作者:</t>
        </r>
        <r>
          <rPr>
            <sz val="9"/>
            <rFont val="宋体"/>
            <charset val="134"/>
          </rPr>
          <t xml:space="preserve">
估值中一个项目一天只能有一组参数多于一组参数则删除，或者建一个历史表迁移到历史数据中
。TEST中则可以有多组用与测试工作</t>
        </r>
      </text>
    </comment>
    <comment ref="G43" authorId="0">
      <text>
        <r>
          <rPr>
            <b/>
            <sz val="9"/>
            <rFont val="宋体"/>
            <charset val="134"/>
          </rPr>
          <t>作者:</t>
        </r>
        <r>
          <rPr>
            <sz val="9"/>
            <rFont val="宋体"/>
            <charset val="134"/>
          </rPr>
          <t xml:space="preserve">
估值结果一天只能有一组参数,TEST_RESULTZ中则可以有多组</t>
        </r>
      </text>
    </comment>
    <comment ref="C50" authorId="0">
      <text>
        <r>
          <rPr>
            <b/>
            <sz val="9"/>
            <rFont val="宋体"/>
            <charset val="134"/>
          </rPr>
          <t>作者:</t>
        </r>
        <r>
          <rPr>
            <sz val="9"/>
            <rFont val="宋体"/>
            <charset val="134"/>
          </rPr>
          <t xml:space="preserve">
但是评级下自定义循环购买只能支持收益率模式,不支持折现率模式
</t>
        </r>
      </text>
    </comment>
  </commentList>
</comments>
</file>

<file path=xl/comments2.xml><?xml version="1.0" encoding="utf-8"?>
<comments xmlns="http://schemas.openxmlformats.org/spreadsheetml/2006/main">
  <authors>
    <author>作者</author>
  </authors>
  <commentList>
    <comment ref="B2" authorId="0">
      <text>
        <r>
          <rPr>
            <b/>
            <sz val="9"/>
            <rFont val="宋体"/>
            <charset val="134"/>
          </rPr>
          <t>作者:</t>
        </r>
        <r>
          <rPr>
            <sz val="9"/>
            <rFont val="宋体"/>
            <charset val="134"/>
          </rPr>
          <t xml:space="preserve">
不会每日更新
</t>
        </r>
      </text>
    </comment>
  </commentList>
</comments>
</file>

<file path=xl/comments3.xml><?xml version="1.0" encoding="utf-8"?>
<comments xmlns="http://schemas.openxmlformats.org/spreadsheetml/2006/main">
  <authors>
    <author>作者</author>
    <author>user</author>
  </authors>
  <commentList>
    <comment ref="G5" authorId="0">
      <text>
        <r>
          <rPr>
            <b/>
            <sz val="9"/>
            <rFont val="宋体"/>
            <charset val="134"/>
          </rPr>
          <t>作者:</t>
        </r>
        <r>
          <rPr>
            <sz val="9"/>
            <rFont val="宋体"/>
            <charset val="134"/>
          </rPr>
          <t xml:space="preserve">
估值结果一天只能有一组参数,TEST_RESULTZ中则可以有多组</t>
        </r>
      </text>
    </comment>
    <comment ref="G13" authorId="0">
      <text>
        <r>
          <rPr>
            <b/>
            <sz val="9"/>
            <rFont val="宋体"/>
            <charset val="134"/>
          </rPr>
          <t>作者:</t>
        </r>
        <r>
          <rPr>
            <sz val="9"/>
            <rFont val="宋体"/>
            <charset val="134"/>
          </rPr>
          <t xml:space="preserve">
默认为是,如果通过一定的规则检查证券现金流结果,如果不符合规则,超过阈值,则PASS为否;对于结果为否的需要人工核查,对于结果为是的可以直接用估值程序提取对应的记录返回估值</t>
        </r>
      </text>
    </comment>
    <comment ref="A26" authorId="0">
      <text>
        <r>
          <rPr>
            <b/>
            <sz val="9"/>
            <rFont val="宋体"/>
            <charset val="134"/>
          </rPr>
          <t>作者:</t>
        </r>
        <r>
          <rPr>
            <sz val="9"/>
            <rFont val="宋体"/>
            <charset val="134"/>
          </rPr>
          <t xml:space="preserve">
如果是TEST_RESULT,会出现一天有多组结果,结果根据INPUT_SEQ与入参匹配
</t>
        </r>
      </text>
    </comment>
    <comment ref="G66" authorId="0">
      <text>
        <r>
          <rPr>
            <b/>
            <sz val="9"/>
            <rFont val="宋体"/>
            <charset val="134"/>
          </rPr>
          <t>作者:</t>
        </r>
        <r>
          <rPr>
            <sz val="9"/>
            <rFont val="宋体"/>
            <charset val="134"/>
          </rPr>
          <t xml:space="preserve">
默认为是,如果通过一定的规则检查证券现金流结果,如果不符合规则,超过阈值,则PASS为否;对于结果为否的需要人工核查,对于结果为是的可以直接用估值程序提取对应的记录返回估值</t>
        </r>
      </text>
    </comment>
    <comment ref="B75" authorId="0">
      <text>
        <r>
          <rPr>
            <b/>
            <sz val="9"/>
            <rFont val="宋体"/>
            <charset val="134"/>
          </rPr>
          <t>作者:</t>
        </r>
        <r>
          <rPr>
            <sz val="9"/>
            <rFont val="宋体"/>
            <charset val="134"/>
          </rPr>
          <t xml:space="preserve">
如果是模型类的，会输出预测参数表。即INPUT_SEQ对应的记录的SCENARIO_TYPE=‘2’
</t>
        </r>
      </text>
    </comment>
    <comment ref="B97" authorId="1">
      <text>
        <r>
          <rPr>
            <b/>
            <sz val="9"/>
            <rFont val="宋体"/>
            <charset val="134"/>
          </rPr>
          <t>user:</t>
        </r>
        <r>
          <rPr>
            <sz val="9"/>
            <rFont val="宋体"/>
            <charset val="134"/>
          </rPr>
          <t xml:space="preserve">
用于保存过程中用到的基准加压参数。如果是读取评级报告的情况这个表不重要，如果是通过估计的方式得到基准参数，则这个表可用于在结果不合理时排查问题原因。</t>
        </r>
      </text>
    </comment>
    <comment ref="G101" authorId="1">
      <text>
        <r>
          <rPr>
            <b/>
            <sz val="9"/>
            <rFont val="宋体"/>
            <charset val="134"/>
          </rPr>
          <t>user:</t>
        </r>
        <r>
          <rPr>
            <sz val="9"/>
            <rFont val="宋体"/>
            <charset val="134"/>
          </rPr>
          <t xml:space="preserve">
未来的回收总金额占入池金额的比例</t>
        </r>
      </text>
    </comment>
    <comment ref="G102" authorId="1">
      <text>
        <r>
          <rPr>
            <b/>
            <sz val="9"/>
            <rFont val="宋体"/>
            <charset val="134"/>
          </rPr>
          <t>user:</t>
        </r>
        <r>
          <rPr>
            <sz val="9"/>
            <rFont val="宋体"/>
            <charset val="134"/>
          </rPr>
          <t xml:space="preserve">
当前已经回收的本金总额占入池本金的比例</t>
        </r>
      </text>
    </comment>
    <comment ref="G104" authorId="1">
      <text>
        <r>
          <rPr>
            <b/>
            <sz val="9"/>
            <rFont val="宋体"/>
            <charset val="134"/>
          </rPr>
          <t xml:space="preserve">user:
</t>
        </r>
        <r>
          <rPr>
            <sz val="9"/>
            <rFont val="宋体"/>
            <charset val="134"/>
          </rPr>
          <t>预计未来违约总金额占初始入池本金的比例</t>
        </r>
      </text>
    </comment>
    <comment ref="G105" authorId="1">
      <text>
        <r>
          <rPr>
            <b/>
            <sz val="9"/>
            <rFont val="宋体"/>
            <charset val="134"/>
          </rPr>
          <t>user:</t>
        </r>
        <r>
          <rPr>
            <sz val="9"/>
            <rFont val="宋体"/>
            <charset val="134"/>
          </rPr>
          <t xml:space="preserve">
当前已经产生的总违约金额占入池本金的比例</t>
        </r>
      </text>
    </comment>
  </commentList>
</comments>
</file>

<file path=xl/comments4.xml><?xml version="1.0" encoding="utf-8"?>
<comments xmlns="http://schemas.openxmlformats.org/spreadsheetml/2006/main">
  <authors>
    <author>user</author>
    <author>作者</author>
  </authors>
  <commentList>
    <comment ref="C1" authorId="0">
      <text>
        <r>
          <rPr>
            <b/>
            <sz val="9"/>
            <rFont val="宋体"/>
            <charset val="134"/>
          </rPr>
          <t>user:</t>
        </r>
        <r>
          <rPr>
            <sz val="9"/>
            <rFont val="宋体"/>
            <charset val="134"/>
          </rPr>
          <t xml:space="preserve">
只有入参的枚举值需要，格式跟如下例子一样才能被程序识别。用于将枚举值转为程序识别的格式;同时表格结构中对应的要在ENUMERATOR填入对应的枚举值编号
</t>
        </r>
      </text>
    </comment>
    <comment ref="B9" authorId="1">
      <text>
        <r>
          <rPr>
            <b/>
            <sz val="9"/>
            <rFont val="宋体"/>
            <charset val="134"/>
          </rPr>
          <t>作者:
采用默认参数配置表的方法指的是同一二级分类用的参数是一样的，而默认参数表中的配置是枚举值中其他选项的一个。换句话说，如果选了1，会根据项目二级分类从默认参数配置中读取，但是也可以选择其他枚举项，此时相当于对该项目采取了定制参数，而不是跟其他同二级分类的项目一样，用统一的参数配置（其他枚举也一样）</t>
        </r>
      </text>
    </comment>
  </commentList>
</comments>
</file>

<file path=xl/sharedStrings.xml><?xml version="1.0" encoding="utf-8"?>
<sst xmlns="http://schemas.openxmlformats.org/spreadsheetml/2006/main" count="800" uniqueCount="418">
  <si>
    <t xml:space="preserve">1. 枚举值中为3***的为估值库已有数据的枚举.如果是6***,为当前表结构设计的新增字段,见枚举值表. </t>
  </si>
  <si>
    <t>2. 默认参数表保存的是不需要随单个证券变化的参数,该类参数可以更新,更新后就只提取日期最新的值</t>
  </si>
  <si>
    <t>3. 通用表可以同时用于生产、测试和网页端输入数据的保存，后缀为生产的表只用于生产过程</t>
  </si>
  <si>
    <t>4. 除了数据检查表和默认参数表外,输入输出表都有输入内码(INPUT_SEQ OR RATING_INPUT_SEQ), 用于入参和结果的匹配,如果是生产结果,在入参表里一天只有至多一条记录;</t>
  </si>
  <si>
    <t>5. 如果要建维护界面，由于不同情况需要输入的参数不同。需要结合程序说明中的入参说明、该excel中的批注及detail、输入参数.xlsx进行页面设计</t>
  </si>
  <si>
    <t>TABLE_NAME</t>
  </si>
  <si>
    <t>TABLE_COMMENT</t>
  </si>
  <si>
    <t>COLUMN</t>
  </si>
  <si>
    <t>COLUMN_TYPE_SQLITE</t>
  </si>
  <si>
    <t>ALLOW_NAN</t>
  </si>
  <si>
    <t>PRIMARY_KEY</t>
  </si>
  <si>
    <t>COMMENT</t>
  </si>
  <si>
    <t>FORMAT</t>
  </si>
  <si>
    <t>EXAMPLE</t>
  </si>
  <si>
    <t>ENUMERATOR</t>
  </si>
  <si>
    <t>CONDITION</t>
  </si>
  <si>
    <t>DETAIL</t>
  </si>
  <si>
    <t>DEFAULT</t>
  </si>
  <si>
    <t>CSI_ABS_VALUATION_INPUT</t>
  </si>
  <si>
    <t>估值入参表</t>
  </si>
  <si>
    <t>PROJECT_SEQ</t>
  </si>
  <si>
    <t>VARCHAR(200)</t>
  </si>
  <si>
    <t>项目内码</t>
  </si>
  <si>
    <t>INPUT_SEQ</t>
  </si>
  <si>
    <t>参数组编号</t>
  </si>
  <si>
    <t xml:space="preserve">DATE+HOUR+MINUTE+6位编号+GZ </t>
  </si>
  <si>
    <t>202307281010000001GZ,202307281010000007GZ,</t>
  </si>
  <si>
    <t>DATE</t>
  </si>
  <si>
    <t>VARCHAR(8)</t>
  </si>
  <si>
    <t>估值日期</t>
  </si>
  <si>
    <t>SCENARIO_TYPE</t>
  </si>
  <si>
    <t>VARCHAR(4)</t>
  </si>
  <si>
    <t>计算模块</t>
  </si>
  <si>
    <t>MODEL_TYPE</t>
  </si>
  <si>
    <t>模型选择</t>
  </si>
  <si>
    <t>SCENARIO_TYPE='2'</t>
  </si>
  <si>
    <t>如果是资产池外推模型，还需要额外输入CPR或者CPRS;如果是资产池外推模型、线性回归、sigmoid回归模型，还需要输入（RR、DPP）或者RRS。</t>
  </si>
  <si>
    <t>RECAL_CASHFLOW</t>
  </si>
  <si>
    <t>是否重新测算现金流</t>
  </si>
  <si>
    <t>对于不良贷款或者循环购买，是否重新测算现金流</t>
  </si>
  <si>
    <t>MODULE_TYPE</t>
  </si>
  <si>
    <t>自定义加压参数下的模块类型</t>
  </si>
  <si>
    <t>SCENARIO_TYPE='1'</t>
  </si>
  <si>
    <t>CDR</t>
  </si>
  <si>
    <t>DECIMAL(7,4)</t>
  </si>
  <si>
    <t>累计违约率</t>
  </si>
  <si>
    <t>单位 %</t>
  </si>
  <si>
    <t>具体哪些情况需要哪个字段不为空需要看程序说明的入参说明和输入参数.xlsx</t>
  </si>
  <si>
    <t>CPR</t>
  </si>
  <si>
    <t>年化早偿率</t>
  </si>
  <si>
    <t>RR</t>
  </si>
  <si>
    <t>违约回收率</t>
  </si>
  <si>
    <t>DPP</t>
  </si>
  <si>
    <t>DECIMAL(4,0)</t>
  </si>
  <si>
    <t>违约回收延迟月份</t>
  </si>
  <si>
    <t>单位：月</t>
  </si>
  <si>
    <t>PP</t>
  </si>
  <si>
    <t>摊还比例</t>
  </si>
  <si>
    <t>YR</t>
  </si>
  <si>
    <t>DECIMAL(16,4)</t>
  </si>
  <si>
    <t>收益率</t>
  </si>
  <si>
    <t>RP</t>
  </si>
  <si>
    <t>循环购买率</t>
  </si>
  <si>
    <t>DR</t>
  </si>
  <si>
    <t>折价率</t>
  </si>
  <si>
    <t>YCDR</t>
  </si>
  <si>
    <t>年化违约率</t>
  </si>
  <si>
    <t>DPS</t>
  </si>
  <si>
    <t>BLOB</t>
  </si>
  <si>
    <t>违约分布序列</t>
  </si>
  <si>
    <t>由（月份，参数值）对构成，月份和参数值之间用英文半角逗号隔开，不同月份的假设由英文半角分号隔开</t>
  </si>
  <si>
    <t xml:space="preserve">  1, 10; 2, 20; 3, 25</t>
  </si>
  <si>
    <t>CPRS</t>
  </si>
  <si>
    <t>年化早偿率序列</t>
  </si>
  <si>
    <t>RRS</t>
  </si>
  <si>
    <t>违约回收率序列</t>
  </si>
  <si>
    <t>CDRS</t>
  </si>
  <si>
    <t>累计违约率序列</t>
  </si>
  <si>
    <t>PPS</t>
  </si>
  <si>
    <t>摊还比例序列</t>
  </si>
  <si>
    <t>YRS</t>
  </si>
  <si>
    <t>收益率序列</t>
  </si>
  <si>
    <t>DRS</t>
  </si>
  <si>
    <t>折价率序列</t>
  </si>
  <si>
    <t>YCDRS</t>
  </si>
  <si>
    <t>年化违约率序列</t>
  </si>
  <si>
    <t>INTEREST_METHOD</t>
  </si>
  <si>
    <t>循环购买测算现金流时利息计算方式</t>
  </si>
  <si>
    <t>RECAL_CASHFLOW='1'</t>
  </si>
  <si>
    <t>SUOE</t>
  </si>
  <si>
    <t>是否缩额法</t>
  </si>
  <si>
    <t>EXIST_TAX_EXP</t>
  </si>
  <si>
    <t>是否计算税费</t>
  </si>
  <si>
    <t>EXP_RATE</t>
  </si>
  <si>
    <t>费率</t>
  </si>
  <si>
    <t>EXIST_TAX_EXP='1'时必填</t>
  </si>
  <si>
    <t>TAX_RATE</t>
  </si>
  <si>
    <t>税率</t>
  </si>
  <si>
    <t>COUPON_RATE_CHANGE</t>
  </si>
  <si>
    <t>证券票面利率变动</t>
  </si>
  <si>
    <t>单位 BP</t>
  </si>
  <si>
    <t>DAY_COUNT_METHOD</t>
  </si>
  <si>
    <t>利息天数计算方式</t>
  </si>
  <si>
    <t>PORTION</t>
  </si>
  <si>
    <t>不良贷款延迟回收比例</t>
  </si>
  <si>
    <t>PARAM_MATCH_METHOD</t>
  </si>
  <si>
    <t>序列参数匹配方式</t>
  </si>
  <si>
    <t>入参为序列型数据时需要</t>
  </si>
  <si>
    <t>DP_MATCH_PERFECTLY</t>
  </si>
  <si>
    <t>违约分布序列是否与现金流归集表逐期匹配</t>
  </si>
  <si>
    <t>DP不为空时需要</t>
  </si>
  <si>
    <t>CPR_TYPE</t>
  </si>
  <si>
    <t>早偿计算方式</t>
  </si>
  <si>
    <t>MINUS_CDR</t>
  </si>
  <si>
    <t>是否扣除当前已发生累计违约率</t>
  </si>
  <si>
    <t>BEGIN_DEFAULT_RECOVER</t>
  </si>
  <si>
    <t>是否对当前剩余违约金额计算违约回收</t>
  </si>
  <si>
    <t>SPLIT_DEFAULT</t>
  </si>
  <si>
    <t>是否从最新剩余本金中扣除当前剩余违约金额</t>
  </si>
  <si>
    <t>SAME_TYPE</t>
  </si>
  <si>
    <t>选择可比项目时是否用同二级分类</t>
  </si>
  <si>
    <t>如果为否则用的是同发起人的项目</t>
  </si>
  <si>
    <t>ADD_REMAIN_ACCOUNT</t>
  </si>
  <si>
    <t>是否在现金流分配中加入当前账户余额用于证券端支付</t>
  </si>
  <si>
    <t>CSI_ABS_RATING_INPUT</t>
  </si>
  <si>
    <t>评级入参</t>
  </si>
  <si>
    <t>RATING_INPUT_SEQ</t>
  </si>
  <si>
    <t>DATE+HOUR+MINUTE+6位编号+RT</t>
  </si>
  <si>
    <t xml:space="preserve"> 202307281010000001RT,202307281010000007RT</t>
  </si>
  <si>
    <t>评级日期</t>
  </si>
  <si>
    <t>RATING_METHOD</t>
  </si>
  <si>
    <t>评级方法</t>
  </si>
  <si>
    <t>TDR_SOURCE</t>
  </si>
  <si>
    <t>目标违约率获取方式</t>
  </si>
  <si>
    <t>CUSTOM_TDR</t>
  </si>
  <si>
    <t>自定义目标违约率/回收率</t>
  </si>
  <si>
    <t>由（等级，目标违约率）键值对构成，键值对之间用分号隔开，键值对内由逗号隔开。</t>
  </si>
  <si>
    <t>LOGNORM_SOURCE</t>
  </si>
  <si>
    <t>对数正态分布参数计算方式</t>
  </si>
  <si>
    <t>RATING_METHOD='3'</t>
  </si>
  <si>
    <t>DATA_SOURCE</t>
  </si>
  <si>
    <t>基准数据来源</t>
  </si>
  <si>
    <t>VALUATION_INPUT_SEQ</t>
  </si>
  <si>
    <t>VARCHAR(18)</t>
  </si>
  <si>
    <t>估值参数组编号</t>
  </si>
  <si>
    <t>DATA_SOURCE='2'时，不填则默认用最新的参数组</t>
  </si>
  <si>
    <t>对数正态分布通过可比项目计算参数、项目用资产池外推估计违约分布时都会用到可比项目，此时用同二级分类的所有项目作为可比项目还是用同发起人的项目作为可比项目。</t>
  </si>
  <si>
    <t>CSI_ABS_RATING_MULTIPLIER</t>
  </si>
  <si>
    <t>压力乘数</t>
  </si>
  <si>
    <t>SECOND_CLASS</t>
  </si>
  <si>
    <t>二级分类</t>
  </si>
  <si>
    <t>加压情景内码</t>
  </si>
  <si>
    <t>RANK</t>
  </si>
  <si>
    <t>VARCHAR(16)</t>
  </si>
  <si>
    <t>评级</t>
  </si>
  <si>
    <t>MULTIPLIER</t>
  </si>
  <si>
    <t>DECIMAL(16, 4)</t>
  </si>
  <si>
    <t>评级对应压力乘数</t>
  </si>
  <si>
    <t>CSI_ABS_RATING_TARGET_DEFAULT_RATE</t>
  </si>
  <si>
    <t>目标违约概率</t>
  </si>
  <si>
    <t>参数日期</t>
  </si>
  <si>
    <t>AAA+，BB</t>
  </si>
  <si>
    <t>DEFAULT_RATE</t>
  </si>
  <si>
    <t>评级对应目标违约概率</t>
  </si>
  <si>
    <t>CSI_ABS_RATING_SCENARIO</t>
  </si>
  <si>
    <t>压力情景</t>
  </si>
  <si>
    <t>SCENARIO_SEQ</t>
  </si>
  <si>
    <t>递增的数字</t>
  </si>
  <si>
    <t>SCENARIO</t>
  </si>
  <si>
    <t>加压情景</t>
  </si>
  <si>
    <t>单一情景由（加压参数名称，加压值）的键值对构成，键值对中间用分号隔开。如果是多情景，则情景之间用空格隔开</t>
  </si>
  <si>
    <t>rr_rate,70;cpr_rate,100.0;pp_rate,100.0;yr_rate,100.0;rp_rate,100.0;bp_change,0.0;dp_rate,0.0</t>
  </si>
  <si>
    <t>SCENARIO_DETAIL</t>
  </si>
  <si>
    <t>加压情景文字描述</t>
  </si>
  <si>
    <t>回收率降低30%，其他为基准条件</t>
  </si>
  <si>
    <t>CSI_ABS_RATING_SCENARIO_COMBINATION</t>
  </si>
  <si>
    <t>压力情景组合</t>
  </si>
  <si>
    <t>SCENARIO_SEQS</t>
  </si>
  <si>
    <t>二级分类下适用的加压情景组合</t>
  </si>
  <si>
    <t>由压力情景中的SCENARIO_TYPE组成的str,以逗号隔开</t>
  </si>
  <si>
    <t>IS_REV</t>
  </si>
  <si>
    <t>是否循环购买</t>
  </si>
  <si>
    <t>CSI_ABS_RATING_CONFIG</t>
  </si>
  <si>
    <t>评级方法配置信息</t>
  </si>
  <si>
    <t>枚举剔除1</t>
  </si>
  <si>
    <t>对数正态分布参数来源</t>
  </si>
  <si>
    <t>目标违约率来源</t>
  </si>
  <si>
    <t>基准参数计算方式</t>
  </si>
  <si>
    <t>CSI_ABS_RATING_RESULT</t>
  </si>
  <si>
    <t>评级结果</t>
  </si>
  <si>
    <t>SECURITY_SEQ</t>
  </si>
  <si>
    <t>证券内码</t>
  </si>
  <si>
    <t>日期</t>
  </si>
  <si>
    <t>量化评级</t>
  </si>
  <si>
    <t>IMPLIED_RANK</t>
  </si>
  <si>
    <t>隐含评级</t>
  </si>
  <si>
    <t>DISTANCE</t>
  </si>
  <si>
    <t>信用保护距离</t>
  </si>
  <si>
    <t>TARGET_VALUE</t>
  </si>
  <si>
    <t>目标违约率/回收率</t>
  </si>
  <si>
    <t>EXTREMUM_CRITICAL_VALUE</t>
  </si>
  <si>
    <t>临界违约率最小值/临界回收率最大值</t>
  </si>
  <si>
    <t>RESULT_INFO</t>
  </si>
  <si>
    <t>对结果的说明</t>
  </si>
  <si>
    <t>TARGET_VALUE_SERIES</t>
  </si>
  <si>
    <t>各等级对应的目标违约率/回收率</t>
  </si>
  <si>
    <t>PASS</t>
  </si>
  <si>
    <t>是否有效</t>
  </si>
  <si>
    <t>CSI_ABS_RATING_CRITICAL_VALUE</t>
  </si>
  <si>
    <t>评级临界参数值</t>
  </si>
  <si>
    <t>加压情景描述</t>
  </si>
  <si>
    <t>临界值计算信息</t>
  </si>
  <si>
    <t>CRITICAL_VALUE</t>
  </si>
  <si>
    <t>临界违约率/临界回收率</t>
  </si>
  <si>
    <t>CSI_ABS_RATING_NORM_PARAM</t>
  </si>
  <si>
    <t>对数正态分布用的参数</t>
  </si>
  <si>
    <t>MU</t>
  </si>
  <si>
    <t>SIGMA</t>
  </si>
  <si>
    <t>CSI_ABS_VALUATION_POOL_RESULT</t>
  </si>
  <si>
    <t>现金流归集结果表</t>
  </si>
  <si>
    <t>CHECK_DATE</t>
  </si>
  <si>
    <t>归集日</t>
  </si>
  <si>
    <t>CURRENT_PRINCIPAL_DUE</t>
  </si>
  <si>
    <t>本期应付本金</t>
  </si>
  <si>
    <t>CURRENT_INTEREST_DUE</t>
  </si>
  <si>
    <t>本期应付利息</t>
  </si>
  <si>
    <t>BEGIN_PRINCIPAL_BALANCE</t>
  </si>
  <si>
    <t>期初本金余额</t>
  </si>
  <si>
    <t>END_PRINCIPAL_BALANCE</t>
  </si>
  <si>
    <t>期末本金余额</t>
  </si>
  <si>
    <t>END_DEFAULT_BALANCE</t>
  </si>
  <si>
    <t>期末违约本金额</t>
  </si>
  <si>
    <t>BEGIN_DEFAULT_BALANCE</t>
  </si>
  <si>
    <t>期初违约本金额</t>
  </si>
  <si>
    <t>DEFAULT_AMOUNT</t>
  </si>
  <si>
    <t>违约金额</t>
  </si>
  <si>
    <t>RECYCLE_AMOUNT</t>
  </si>
  <si>
    <t>回收金额</t>
  </si>
  <si>
    <t>PREPAY_AMOUNT</t>
  </si>
  <si>
    <t>早偿金额</t>
  </si>
  <si>
    <t>REINVEST_INCOME</t>
  </si>
  <si>
    <t>再投资收益</t>
  </si>
  <si>
    <t>TAX_PAID_LIABILITY</t>
  </si>
  <si>
    <t>应缴税</t>
  </si>
  <si>
    <t>EXP_PAID_LIABILITY</t>
  </si>
  <si>
    <t>应缴费</t>
  </si>
  <si>
    <t>TAX_PAID</t>
  </si>
  <si>
    <t>实缴税</t>
  </si>
  <si>
    <t>EXP_PAID</t>
  </si>
  <si>
    <t>实缴费</t>
  </si>
  <si>
    <t>INCENTIVE_FEE</t>
  </si>
  <si>
    <t>超额激励</t>
  </si>
  <si>
    <t>CURRENT_REVOLVING_OUT</t>
  </si>
  <si>
    <t>本期循环购买支出</t>
  </si>
  <si>
    <t>IS_REV_PERIOD</t>
  </si>
  <si>
    <t>是否循环购买期</t>
  </si>
  <si>
    <t>EVENT</t>
  </si>
  <si>
    <t>重大事项发生情况</t>
  </si>
  <si>
    <t>由重大事项枚举值构成，事项枚举之间由逗号隔开，如果没有事项发生则为空</t>
  </si>
  <si>
    <t>CSI_ABS_VALUATION_INDICATOR</t>
  </si>
  <si>
    <t>估值衍生指标</t>
  </si>
  <si>
    <t>DURATION</t>
  </si>
  <si>
    <t>修正久期</t>
  </si>
  <si>
    <t>CONVEXITY</t>
  </si>
  <si>
    <t>凸性</t>
  </si>
  <si>
    <t>WAL</t>
  </si>
  <si>
    <t>加权平均剩余期限</t>
  </si>
  <si>
    <t>COVERAGE_RATIO</t>
  </si>
  <si>
    <t>覆盖倍数</t>
  </si>
  <si>
    <t>WHOLE_COVERAGE</t>
  </si>
  <si>
    <t>总覆盖倍数</t>
  </si>
  <si>
    <t>CSI_ABS_VALUATION_CHECKED</t>
  </si>
  <si>
    <t>估值结果核查表</t>
  </si>
  <si>
    <t>RATIO_CASH_FACE</t>
  </si>
  <si>
    <t>未来现金流除以剩余面值</t>
  </si>
  <si>
    <t>CASH_PER_SEC</t>
  </si>
  <si>
    <t>单位证券未来现金流流入总和</t>
  </si>
  <si>
    <t>CAL_EXPIRY_DATE</t>
  </si>
  <si>
    <t>测算预期到期日</t>
  </si>
  <si>
    <t>DATE_SHIFT</t>
  </si>
  <si>
    <t>DECIMAL(10,0)</t>
  </si>
  <si>
    <t>测算预期到期日与实际到期日的天数差</t>
  </si>
  <si>
    <t>ABERRATION_REASON</t>
  </si>
  <si>
    <t>结果异常原因</t>
  </si>
  <si>
    <t>HAVE_REPLENISH</t>
  </si>
  <si>
    <t>是否有进行补充支付</t>
  </si>
  <si>
    <t>REPLENISH_AMOUT</t>
  </si>
  <si>
    <t>补充支付总金额</t>
  </si>
  <si>
    <t>CSI_ABS_VALUATION_CHECKED_PROJECT</t>
  </si>
  <si>
    <t>估值结果核查表_项目</t>
  </si>
  <si>
    <t>ADJUST_FACTOR</t>
  </si>
  <si>
    <t>资产池调整因子</t>
  </si>
  <si>
    <t>GAP</t>
  </si>
  <si>
    <t>资金缺口</t>
  </si>
  <si>
    <t>表示补充支付优先级后，次级资金总和以及账户余额不足这笔补充支付金额的部分</t>
  </si>
  <si>
    <t>POOL_DIVIDE_SECURITY</t>
  </si>
  <si>
    <t>资产池余额比证券端余额（调整后）</t>
  </si>
  <si>
    <t>ABERRATION_REASON_PROJECT</t>
  </si>
  <si>
    <t>结果异常原因-项目层</t>
  </si>
  <si>
    <t>RATIO_ASSET_SEC</t>
  </si>
  <si>
    <t>资产池剩余金额除以证券端本金余额</t>
  </si>
  <si>
    <t>CSI_ABS_MODEL_PREDICT_PARAMS</t>
  </si>
  <si>
    <t>预测参数表</t>
  </si>
  <si>
    <t>单位：%</t>
  </si>
  <si>
    <t>违约分布</t>
  </si>
  <si>
    <t>UCPRS</t>
  </si>
  <si>
    <t>年化无条件早偿率</t>
  </si>
  <si>
    <t>USMMS</t>
  </si>
  <si>
    <t>边际无条件早偿率</t>
  </si>
  <si>
    <t>SMMS</t>
  </si>
  <si>
    <t>当期条件早偿率</t>
  </si>
  <si>
    <t>年化条件早偿率</t>
  </si>
  <si>
    <t>MDRS</t>
  </si>
  <si>
    <t>边际无条件违约率</t>
  </si>
  <si>
    <t>SMDRS</t>
  </si>
  <si>
    <t>当期条件违约率</t>
  </si>
  <si>
    <t>CSI_ABS_MODEL_COEFF_MARKOV</t>
  </si>
  <si>
    <t>马尔可夫模型转移系数</t>
  </si>
  <si>
    <t>TRANSFER_TYPE</t>
  </si>
  <si>
    <t>转移概率类型</t>
  </si>
  <si>
    <t>VALUE</t>
  </si>
  <si>
    <t>转移概率值</t>
  </si>
  <si>
    <t>单位：无</t>
  </si>
  <si>
    <t>CSI_ABS_MODEL_COEFF_REGRESSION</t>
  </si>
  <si>
    <t>回归模型因子系数</t>
  </si>
  <si>
    <t>Y</t>
  </si>
  <si>
    <t>预测参数类型</t>
  </si>
  <si>
    <t>FACTOR_TYPE</t>
  </si>
  <si>
    <t>因子名称</t>
  </si>
  <si>
    <t>因子值</t>
  </si>
  <si>
    <t>CSI_ABS_RATING_BASIC_PARAMS</t>
  </si>
  <si>
    <t>评级基准加压参数表</t>
  </si>
  <si>
    <t>累计回收率</t>
  </si>
  <si>
    <t>仅不良贷款</t>
  </si>
  <si>
    <t>FUTURE_RR</t>
  </si>
  <si>
    <t>未来无条件回收率</t>
  </si>
  <si>
    <t>CURRENT_RR</t>
  </si>
  <si>
    <t>当前累计回收率</t>
  </si>
  <si>
    <t>仅非不良贷款</t>
  </si>
  <si>
    <t>FUTURE_CDR</t>
  </si>
  <si>
    <t>未来无条件违约率</t>
  </si>
  <si>
    <t>CURRENT_CDR</t>
  </si>
  <si>
    <t>当前累计违约率</t>
  </si>
  <si>
    <t>早偿率序列</t>
  </si>
  <si>
    <t>资产池收益率序列</t>
  </si>
  <si>
    <t>仅循环购买</t>
  </si>
  <si>
    <t>月还款率序列</t>
  </si>
  <si>
    <t>DP</t>
  </si>
  <si>
    <t>仅非循环非不良</t>
  </si>
  <si>
    <t>CSI_ABS_DATA_MATCH</t>
  </si>
  <si>
    <t>资产证券端匹配表</t>
  </si>
  <si>
    <t>数据核查日</t>
  </si>
  <si>
    <t>REPORT_DATE_PREDICTION</t>
  </si>
  <si>
    <t>现金流归集日披露日（最新）</t>
  </si>
  <si>
    <t>如果日期为空表示只有发行期的报告</t>
  </si>
  <si>
    <t>REPORT_DATE_SECURITY</t>
  </si>
  <si>
    <t>证券偿付披露日期（最新）</t>
  </si>
  <si>
    <t>REPORT_DATE_ASSET</t>
  </si>
  <si>
    <t>资产池归集披露日期（最新）</t>
  </si>
  <si>
    <t>PERIOD_END_DATE_SECURITY</t>
  </si>
  <si>
    <t>证券计算日（最新）</t>
  </si>
  <si>
    <t>PERIOD_END_DATE_ASSET</t>
  </si>
  <si>
    <t>证券计算日匹配的资产池归集日（最新）</t>
  </si>
  <si>
    <t>POTENTIAL_MISMATCH</t>
  </si>
  <si>
    <t>是否存在期限错配</t>
  </si>
  <si>
    <t>POSSIBLE_END_DATE_SECURITY</t>
  </si>
  <si>
    <t>更可能与资产端报告匹配的证券计息区间截止日</t>
  </si>
  <si>
    <t>CSI_ABS_DATA_CHECK</t>
  </si>
  <si>
    <t>数据问题表</t>
  </si>
  <si>
    <t>WARNING_TYPE</t>
  </si>
  <si>
    <t>数据问题类型</t>
  </si>
  <si>
    <t>WARNING_DETAIL</t>
  </si>
  <si>
    <t>数据问题详情</t>
  </si>
  <si>
    <t>CSI_ABS_FAIL</t>
  </si>
  <si>
    <t>估值计算失败项目</t>
  </si>
  <si>
    <t>SEQ</t>
  </si>
  <si>
    <t>估值入参组编号和评级入参组编号的并集</t>
  </si>
  <si>
    <t>REASON</t>
  </si>
  <si>
    <t>计算失败原因</t>
  </si>
  <si>
    <t>MODULE</t>
  </si>
  <si>
    <t>CSI_HISTORY_LIST</t>
  </si>
  <si>
    <t>历史估值证券清单</t>
  </si>
  <si>
    <t>用于当日的项目筛选，如果在前日清单内，今天又没有更新报告，则不重新算现金流；如果不在前日清单，则是新增项目，需要重新计算</t>
  </si>
  <si>
    <t>UPDATE_DATA</t>
  </si>
  <si>
    <t>DECIMAL(1,0)</t>
  </si>
  <si>
    <t>今日是否更新数据</t>
  </si>
  <si>
    <t>计算日期</t>
  </si>
  <si>
    <t>CSI_HISTORY_RATING_LIST</t>
  </si>
  <si>
    <t>历史评分证券清单</t>
  </si>
  <si>
    <t>CODE</t>
  </si>
  <si>
    <t>PROGRAM_REFLECTION</t>
  </si>
  <si>
    <t>1-自定义加压参数计算
2-参数预测模型测算</t>
  </si>
  <si>
    <t>1-user;2-model</t>
  </si>
  <si>
    <t>1-线性回归；
2-sigmoid回归；
3-Markov模型；
4-资产池外推模型</t>
  </si>
  <si>
    <t>1-linear_model;2-sigmoid_model;3-markov_model;4-extrapolate_model</t>
  </si>
  <si>
    <t>1-是；
0-否；</t>
  </si>
  <si>
    <t>1-True;0-False</t>
  </si>
  <si>
    <t>1-现金流计算器-非循环购买-非不良贷款-数值模式1; 
2-现金流计算器-非循环购买-非不良贷款-数值模式2;
3-现金流计算器-非循环购买-非不良贷款-序列模式1;
4-现金流计算器-非循环购买-非不良贷款-序列模式2; 
5-现金流计算器-非循环购买-不良贷款;
6-现金流计算器-循环购买-数值模式;
7-现金流计算器-循环购买-序列模式</t>
  </si>
  <si>
    <t>1-static_normal1;2-static_normal2;3-series_normal1;4-series_normal2;5-static_npl_recal;6-static_rev_recal;7-series_rev_recal</t>
  </si>
  <si>
    <t>1-算头不算尾;
2-算尾不算头</t>
  </si>
  <si>
    <t>1-begin;2-end</t>
  </si>
  <si>
    <t>1-收益率计算；
2-折价率计算</t>
  </si>
  <si>
    <t>1-yield_;2-discount</t>
  </si>
  <si>
    <t>1-将参数从上一归集日之后开始匹配；
2-将参数从初始起算日开始匹配</t>
  </si>
  <si>
    <t>1-remain;2-all</t>
  </si>
  <si>
    <t>1-采用默认参数配置表的方法；
2-压力乘数法；
3-对数正态分布法</t>
  </si>
  <si>
    <t>1-None; 2-pressure_multiplier;3-lognorm_distribution</t>
  </si>
  <si>
    <t>1-采用默认参数配置表的方法
2-评级报告获取；
3-对应的评级方法模型计算；
4-23方法的均值；
5-自定义</t>
  </si>
  <si>
    <t>1-None;2-rating_report;3-calculation;4-both;5-customize</t>
  </si>
  <si>
    <t>1-采用默认参数配置表的方法
2-评级报告获取；
3-对应的评级方法模型计算；</t>
  </si>
  <si>
    <t>1-None;2-rating_report;3-calculation</t>
  </si>
  <si>
    <t>1-采用默认参数配置表的方法;
2-采用ABS估值的入参；
3-评级报告获取；
4-根据历史数据计算；
5-根据历史数据结合贝叶斯估值计算；（非不良贷款）</t>
  </si>
  <si>
    <t>1-None;2-customize;3-rating_report;4-calculation;5-bayesian_estimation</t>
  </si>
  <si>
    <t>转移概率：
0-正常资金转为逾期1至30天;
1-正常资金转为早偿；
2-逾期1至30天转为逾期31-60天；
3-逾期31-60天转为逾期61-90天；
4-逾期61-90天转为违约；
5-违约本金下一期不回收的比例</t>
  </si>
  <si>
    <t>1-CDR;
2-UCPR</t>
  </si>
  <si>
    <t>因子值：
1-WAIR;
2-WAM;
3-WAM^2;
4-前期早偿情况PPC;
5-合约利率与再融资利率之间的差距SPREAD
6-期初未偿本金比例POPB；
7-LTV;
8-账龄AGE;
9-AGE^2;
10-RTL
11-截距项</t>
  </si>
  <si>
    <t>1-早偿金额=期初剩余本金*SMM；
2-早偿金额=（期初剩余本金-当期应收本金）*SMM</t>
  </si>
  <si>
    <t>1-type1;2-type2</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</si>
</sst>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theme="1"/>
      <name val="等线"/>
      <charset val="134"/>
      <scheme val="minor"/>
    </font>
    <font>
      <sz val="10.5"/>
      <color theme="1"/>
      <name val="Calibri"/>
      <charset val="134"/>
    </font>
    <font>
      <sz val="11"/>
      <color theme="0"/>
      <name val="等线"/>
      <charset val="0"/>
      <scheme val="minor"/>
    </font>
    <font>
      <sz val="11"/>
      <color theme="1"/>
      <name val="等线"/>
      <charset val="0"/>
      <scheme val="minor"/>
    </font>
    <font>
      <b/>
      <sz val="15"/>
      <color theme="3"/>
      <name val="等线"/>
      <charset val="134"/>
      <scheme val="minor"/>
    </font>
    <font>
      <b/>
      <sz val="11"/>
      <color rgb="FFFA7D00"/>
      <name val="等线"/>
      <charset val="0"/>
      <scheme val="minor"/>
    </font>
    <font>
      <sz val="11"/>
      <color rgb="FF9C0006"/>
      <name val="等线"/>
      <charset val="0"/>
      <scheme val="minor"/>
    </font>
    <font>
      <sz val="11"/>
      <color rgb="FF3F3F76"/>
      <name val="等线"/>
      <charset val="0"/>
      <scheme val="minor"/>
    </font>
    <font>
      <b/>
      <sz val="11"/>
      <color theme="1"/>
      <name val="等线"/>
      <charset val="0"/>
      <scheme val="minor"/>
    </font>
    <font>
      <sz val="11"/>
      <color rgb="FFFA7D00"/>
      <name val="等线"/>
      <charset val="0"/>
      <scheme val="minor"/>
    </font>
    <font>
      <b/>
      <sz val="11"/>
      <color rgb="FFFFFFFF"/>
      <name val="等线"/>
      <charset val="0"/>
      <scheme val="minor"/>
    </font>
    <font>
      <b/>
      <sz val="13"/>
      <color theme="3"/>
      <name val="等线"/>
      <charset val="134"/>
      <scheme val="minor"/>
    </font>
    <font>
      <sz val="11"/>
      <color rgb="FFFF0000"/>
      <name val="等线"/>
      <charset val="0"/>
      <scheme val="minor"/>
    </font>
    <font>
      <i/>
      <sz val="11"/>
      <color rgb="FF7F7F7F"/>
      <name val="等线"/>
      <charset val="0"/>
      <scheme val="minor"/>
    </font>
    <font>
      <b/>
      <sz val="11"/>
      <color theme="3"/>
      <name val="等线"/>
      <charset val="134"/>
      <scheme val="minor"/>
    </font>
    <font>
      <u/>
      <sz val="11"/>
      <color rgb="FF800080"/>
      <name val="等线"/>
      <charset val="0"/>
      <scheme val="minor"/>
    </font>
    <font>
      <sz val="11"/>
      <color rgb="FF9C6500"/>
      <name val="等线"/>
      <charset val="0"/>
      <scheme val="minor"/>
    </font>
    <font>
      <sz val="11"/>
      <color rgb="FF006100"/>
      <name val="等线"/>
      <charset val="0"/>
      <scheme val="minor"/>
    </font>
    <font>
      <b/>
      <sz val="11"/>
      <color rgb="FF3F3F3F"/>
      <name val="等线"/>
      <charset val="0"/>
      <scheme val="minor"/>
    </font>
    <font>
      <b/>
      <sz val="18"/>
      <color theme="3"/>
      <name val="等线"/>
      <charset val="134"/>
      <scheme val="minor"/>
    </font>
    <font>
      <u/>
      <sz val="11"/>
      <color rgb="FF0000FF"/>
      <name val="等线"/>
      <charset val="0"/>
      <scheme val="minor"/>
    </font>
    <font>
      <sz val="9"/>
      <name val="宋体"/>
      <charset val="134"/>
    </font>
    <font>
      <b/>
      <sz val="9"/>
      <name val="宋体"/>
      <charset val="134"/>
    </font>
  </fonts>
  <fills count="33">
    <fill>
      <patternFill patternType="none"/>
    </fill>
    <fill>
      <patternFill patternType="gray125"/>
    </fill>
    <fill>
      <patternFill patternType="solid">
        <fgColor theme="9"/>
        <bgColor indexed="64"/>
      </patternFill>
    </fill>
    <fill>
      <patternFill patternType="solid">
        <fgColor theme="6"/>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FFFCC"/>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rgb="FFA5A5A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rgb="FFC6EFCE"/>
        <bgColor indexed="64"/>
      </patternFill>
    </fill>
    <fill>
      <patternFill patternType="solid">
        <fgColor theme="7" tint="0.399975585192419"/>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3" fillId="17" borderId="0" applyNumberFormat="0" applyBorder="0" applyAlignment="0" applyProtection="0">
      <alignment vertical="center"/>
    </xf>
    <xf numFmtId="0" fontId="7" fillId="1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9" borderId="0" applyNumberFormat="0" applyBorder="0" applyAlignment="0" applyProtection="0">
      <alignment vertical="center"/>
    </xf>
    <xf numFmtId="0" fontId="6" fillId="10" borderId="0" applyNumberFormat="0" applyBorder="0" applyAlignment="0" applyProtection="0">
      <alignment vertical="center"/>
    </xf>
    <xf numFmtId="43" fontId="0" fillId="0" borderId="0" applyFont="0" applyFill="0" applyBorder="0" applyAlignment="0" applyProtection="0">
      <alignment vertical="center"/>
    </xf>
    <xf numFmtId="0" fontId="2" fillId="29"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6" borderId="2" applyNumberFormat="0" applyFont="0" applyAlignment="0" applyProtection="0">
      <alignment vertical="center"/>
    </xf>
    <xf numFmtId="0" fontId="2" fillId="28" borderId="0" applyNumberFormat="0" applyBorder="0" applyAlignment="0" applyProtection="0">
      <alignment vertical="center"/>
    </xf>
    <xf numFmtId="0" fontId="1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 fillId="0" borderId="1" applyNumberFormat="0" applyFill="0" applyAlignment="0" applyProtection="0">
      <alignment vertical="center"/>
    </xf>
    <xf numFmtId="0" fontId="11" fillId="0" borderId="1" applyNumberFormat="0" applyFill="0" applyAlignment="0" applyProtection="0">
      <alignment vertical="center"/>
    </xf>
    <xf numFmtId="0" fontId="2" fillId="13" borderId="0" applyNumberFormat="0" applyBorder="0" applyAlignment="0" applyProtection="0">
      <alignment vertical="center"/>
    </xf>
    <xf numFmtId="0" fontId="14" fillId="0" borderId="8" applyNumberFormat="0" applyFill="0" applyAlignment="0" applyProtection="0">
      <alignment vertical="center"/>
    </xf>
    <xf numFmtId="0" fontId="2" fillId="32" borderId="0" applyNumberFormat="0" applyBorder="0" applyAlignment="0" applyProtection="0">
      <alignment vertical="center"/>
    </xf>
    <xf numFmtId="0" fontId="18" fillId="8" borderId="7" applyNumberFormat="0" applyAlignment="0" applyProtection="0">
      <alignment vertical="center"/>
    </xf>
    <xf numFmtId="0" fontId="5" fillId="8" borderId="3" applyNumberFormat="0" applyAlignment="0" applyProtection="0">
      <alignment vertical="center"/>
    </xf>
    <xf numFmtId="0" fontId="10" fillId="21" borderId="6" applyNumberFormat="0" applyAlignment="0" applyProtection="0">
      <alignment vertical="center"/>
    </xf>
    <xf numFmtId="0" fontId="3" fillId="7" borderId="0" applyNumberFormat="0" applyBorder="0" applyAlignment="0" applyProtection="0">
      <alignment vertical="center"/>
    </xf>
    <xf numFmtId="0" fontId="2" fillId="20" borderId="0" applyNumberFormat="0" applyBorder="0" applyAlignment="0" applyProtection="0">
      <alignment vertical="center"/>
    </xf>
    <xf numFmtId="0" fontId="9" fillId="0" borderId="5" applyNumberFormat="0" applyFill="0" applyAlignment="0" applyProtection="0">
      <alignment vertical="center"/>
    </xf>
    <xf numFmtId="0" fontId="8" fillId="0" borderId="4" applyNumberFormat="0" applyFill="0" applyAlignment="0" applyProtection="0">
      <alignment vertical="center"/>
    </xf>
    <xf numFmtId="0" fontId="17" fillId="31" borderId="0" applyNumberFormat="0" applyBorder="0" applyAlignment="0" applyProtection="0">
      <alignment vertical="center"/>
    </xf>
    <xf numFmtId="0" fontId="16" fillId="27" borderId="0" applyNumberFormat="0" applyBorder="0" applyAlignment="0" applyProtection="0">
      <alignment vertical="center"/>
    </xf>
    <xf numFmtId="0" fontId="3" fillId="5" borderId="0" applyNumberFormat="0" applyBorder="0" applyAlignment="0" applyProtection="0">
      <alignment vertical="center"/>
    </xf>
    <xf numFmtId="0" fontId="2" fillId="24" borderId="0" applyNumberFormat="0" applyBorder="0" applyAlignment="0" applyProtection="0">
      <alignment vertical="center"/>
    </xf>
    <xf numFmtId="0" fontId="3" fillId="26" borderId="0" applyNumberFormat="0" applyBorder="0" applyAlignment="0" applyProtection="0">
      <alignment vertical="center"/>
    </xf>
    <xf numFmtId="0" fontId="3" fillId="4" borderId="0" applyNumberFormat="0" applyBorder="0" applyAlignment="0" applyProtection="0">
      <alignment vertical="center"/>
    </xf>
    <xf numFmtId="0" fontId="3" fillId="16" borderId="0" applyNumberFormat="0" applyBorder="0" applyAlignment="0" applyProtection="0">
      <alignment vertical="center"/>
    </xf>
    <xf numFmtId="0" fontId="3" fillId="15" borderId="0" applyNumberFormat="0" applyBorder="0" applyAlignment="0" applyProtection="0">
      <alignment vertical="center"/>
    </xf>
    <xf numFmtId="0" fontId="2" fillId="3" borderId="0" applyNumberFormat="0" applyBorder="0" applyAlignment="0" applyProtection="0">
      <alignment vertical="center"/>
    </xf>
    <xf numFmtId="0" fontId="2" fillId="12" borderId="0" applyNumberFormat="0" applyBorder="0" applyAlignment="0" applyProtection="0">
      <alignment vertical="center"/>
    </xf>
    <xf numFmtId="0" fontId="3" fillId="23" borderId="0" applyNumberFormat="0" applyBorder="0" applyAlignment="0" applyProtection="0">
      <alignment vertical="center"/>
    </xf>
    <xf numFmtId="0" fontId="3" fillId="22" borderId="0" applyNumberFormat="0" applyBorder="0" applyAlignment="0" applyProtection="0">
      <alignment vertical="center"/>
    </xf>
    <xf numFmtId="0" fontId="2" fillId="11" borderId="0" applyNumberFormat="0" applyBorder="0" applyAlignment="0" applyProtection="0">
      <alignment vertical="center"/>
    </xf>
    <xf numFmtId="0" fontId="3" fillId="25" borderId="0" applyNumberFormat="0" applyBorder="0" applyAlignment="0" applyProtection="0">
      <alignment vertical="center"/>
    </xf>
    <xf numFmtId="0" fontId="2" fillId="19" borderId="0" applyNumberFormat="0" applyBorder="0" applyAlignment="0" applyProtection="0">
      <alignment vertical="center"/>
    </xf>
    <xf numFmtId="0" fontId="2" fillId="2" borderId="0" applyNumberFormat="0" applyBorder="0" applyAlignment="0" applyProtection="0">
      <alignment vertical="center"/>
    </xf>
    <xf numFmtId="0" fontId="3" fillId="30" borderId="0" applyNumberFormat="0" applyBorder="0" applyAlignment="0" applyProtection="0">
      <alignment vertical="center"/>
    </xf>
    <xf numFmtId="0" fontId="2" fillId="18" borderId="0" applyNumberFormat="0" applyBorder="0" applyAlignment="0" applyProtection="0">
      <alignment vertical="center"/>
    </xf>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1" fillId="0" borderId="0" xfId="0" applyFont="1"/>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lef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B8"/>
  <sheetViews>
    <sheetView workbookViewId="0">
      <selection activeCell="B5" sqref="B5"/>
    </sheetView>
  </sheetViews>
  <sheetFormatPr defaultColWidth="9" defaultRowHeight="14.25" outlineLevelRow="7" outlineLevelCol="1"/>
  <cols>
    <col min="2" max="2" width="84.375" customWidth="1"/>
  </cols>
  <sheetData>
    <row r="4" spans="2:2">
      <c r="B4" t="s">
        <v>0</v>
      </c>
    </row>
    <row r="5" spans="2:2">
      <c r="B5" t="s">
        <v>1</v>
      </c>
    </row>
    <row r="6" spans="2:2">
      <c r="B6" s="7" t="s">
        <v>2</v>
      </c>
    </row>
    <row r="7" ht="28.5" spans="2:2">
      <c r="B7" s="8" t="s">
        <v>3</v>
      </c>
    </row>
    <row r="8" spans="2:2">
      <c r="B8" t="s">
        <v>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topLeftCell="A24" workbookViewId="0">
      <selection activeCell="I34" sqref="I34"/>
    </sheetView>
  </sheetViews>
  <sheetFormatPr defaultColWidth="9" defaultRowHeight="14.25"/>
  <cols>
    <col min="1" max="1" width="37.375" customWidth="1"/>
    <col min="2" max="2" width="34.75" customWidth="1"/>
    <col min="3" max="3" width="30.75" customWidth="1"/>
    <col min="4" max="4" width="15.875" customWidth="1"/>
    <col min="7" max="7" width="13" customWidth="1"/>
    <col min="8" max="8" width="18.125" customWidth="1"/>
    <col min="9" max="9" width="23.75" customWidth="1"/>
    <col min="10" max="10" width="24" customWidth="1"/>
    <col min="11" max="11" width="24.125" customWidth="1"/>
    <col min="12" max="12" width="31.25" customWidth="1"/>
  </cols>
  <sheetData>
    <row r="1" spans="1:13">
      <c r="A1" t="s">
        <v>5</v>
      </c>
      <c r="B1" t="s">
        <v>6</v>
      </c>
      <c r="C1" t="s">
        <v>7</v>
      </c>
      <c r="D1" t="s">
        <v>8</v>
      </c>
      <c r="E1" t="s">
        <v>9</v>
      </c>
      <c r="F1" t="s">
        <v>10</v>
      </c>
      <c r="G1" t="s">
        <v>11</v>
      </c>
      <c r="H1" t="s">
        <v>12</v>
      </c>
      <c r="I1" t="s">
        <v>13</v>
      </c>
      <c r="J1" t="s">
        <v>14</v>
      </c>
      <c r="K1" t="s">
        <v>15</v>
      </c>
      <c r="L1" t="s">
        <v>16</v>
      </c>
      <c r="M1" t="s">
        <v>17</v>
      </c>
    </row>
    <row r="2" spans="1:7">
      <c r="A2" s="2" t="s">
        <v>18</v>
      </c>
      <c r="B2" s="2" t="s">
        <v>19</v>
      </c>
      <c r="C2" t="s">
        <v>20</v>
      </c>
      <c r="D2" t="s">
        <v>21</v>
      </c>
      <c r="E2" t="b">
        <v>0</v>
      </c>
      <c r="F2" t="b">
        <v>1</v>
      </c>
      <c r="G2" t="s">
        <v>22</v>
      </c>
    </row>
    <row r="3" spans="1:9">
      <c r="A3" s="2"/>
      <c r="B3" s="2"/>
      <c r="C3" t="s">
        <v>23</v>
      </c>
      <c r="D3" t="s">
        <v>21</v>
      </c>
      <c r="E3" t="b">
        <v>0</v>
      </c>
      <c r="F3" t="b">
        <v>1</v>
      </c>
      <c r="G3" t="s">
        <v>24</v>
      </c>
      <c r="H3" t="s">
        <v>25</v>
      </c>
      <c r="I3" t="s">
        <v>26</v>
      </c>
    </row>
    <row r="4" spans="1:7">
      <c r="A4" s="2"/>
      <c r="B4" s="2"/>
      <c r="C4" t="s">
        <v>27</v>
      </c>
      <c r="D4" t="s">
        <v>28</v>
      </c>
      <c r="E4" t="b">
        <v>0</v>
      </c>
      <c r="F4" t="b">
        <v>1</v>
      </c>
      <c r="G4" t="s">
        <v>29</v>
      </c>
    </row>
    <row r="5" spans="1:10">
      <c r="A5" s="2"/>
      <c r="B5" s="2"/>
      <c r="C5" t="s">
        <v>30</v>
      </c>
      <c r="D5" t="s">
        <v>31</v>
      </c>
      <c r="E5" t="b">
        <v>0</v>
      </c>
      <c r="F5" t="b">
        <v>0</v>
      </c>
      <c r="G5" t="s">
        <v>32</v>
      </c>
      <c r="J5">
        <v>6001</v>
      </c>
    </row>
    <row r="6" ht="24.75" customHeight="1" spans="1:12">
      <c r="A6" s="2"/>
      <c r="B6" s="2"/>
      <c r="C6" t="s">
        <v>33</v>
      </c>
      <c r="D6" t="s">
        <v>31</v>
      </c>
      <c r="E6" t="b">
        <v>1</v>
      </c>
      <c r="F6" t="b">
        <v>0</v>
      </c>
      <c r="G6" t="s">
        <v>34</v>
      </c>
      <c r="J6" s="1">
        <v>6002</v>
      </c>
      <c r="K6" t="s">
        <v>35</v>
      </c>
      <c r="L6" s="1" t="s">
        <v>36</v>
      </c>
    </row>
    <row r="7" spans="1:12">
      <c r="A7" s="2"/>
      <c r="B7" s="2"/>
      <c r="C7" t="s">
        <v>37</v>
      </c>
      <c r="D7" t="s">
        <v>31</v>
      </c>
      <c r="E7" t="b">
        <v>0</v>
      </c>
      <c r="F7" t="b">
        <v>0</v>
      </c>
      <c r="G7" t="s">
        <v>38</v>
      </c>
      <c r="J7">
        <v>6003</v>
      </c>
      <c r="L7" t="s">
        <v>39</v>
      </c>
    </row>
    <row r="8" spans="1:11">
      <c r="A8" s="2"/>
      <c r="B8" s="2"/>
      <c r="C8" t="s">
        <v>40</v>
      </c>
      <c r="D8" t="s">
        <v>31</v>
      </c>
      <c r="E8" t="b">
        <v>0</v>
      </c>
      <c r="F8" t="b">
        <v>0</v>
      </c>
      <c r="G8" t="s">
        <v>41</v>
      </c>
      <c r="J8">
        <v>6004</v>
      </c>
      <c r="K8" t="s">
        <v>42</v>
      </c>
    </row>
    <row r="9" spans="1:11">
      <c r="A9" s="2"/>
      <c r="B9" s="2"/>
      <c r="C9" t="s">
        <v>43</v>
      </c>
      <c r="D9" t="s">
        <v>44</v>
      </c>
      <c r="E9" t="b">
        <v>1</v>
      </c>
      <c r="F9" t="b">
        <v>0</v>
      </c>
      <c r="G9" t="s">
        <v>45</v>
      </c>
      <c r="H9" s="3" t="s">
        <v>46</v>
      </c>
      <c r="K9" s="6" t="s">
        <v>47</v>
      </c>
    </row>
    <row r="10" spans="1:11">
      <c r="A10" s="2"/>
      <c r="B10" s="2"/>
      <c r="C10" t="s">
        <v>48</v>
      </c>
      <c r="D10" t="s">
        <v>44</v>
      </c>
      <c r="E10" t="b">
        <v>1</v>
      </c>
      <c r="F10" t="b">
        <v>0</v>
      </c>
      <c r="G10" t="s">
        <v>49</v>
      </c>
      <c r="H10" s="3"/>
      <c r="K10" s="6"/>
    </row>
    <row r="11" spans="1:11">
      <c r="A11" s="2"/>
      <c r="B11" s="2"/>
      <c r="C11" t="s">
        <v>50</v>
      </c>
      <c r="D11" t="s">
        <v>44</v>
      </c>
      <c r="E11" t="b">
        <v>1</v>
      </c>
      <c r="F11" t="b">
        <v>0</v>
      </c>
      <c r="G11" t="s">
        <v>51</v>
      </c>
      <c r="H11" s="3"/>
      <c r="K11" s="6"/>
    </row>
    <row r="12" spans="1:11">
      <c r="A12" s="2"/>
      <c r="B12" s="2"/>
      <c r="C12" t="s">
        <v>52</v>
      </c>
      <c r="D12" t="s">
        <v>53</v>
      </c>
      <c r="E12" t="b">
        <v>1</v>
      </c>
      <c r="F12" t="b">
        <v>0</v>
      </c>
      <c r="G12" t="s">
        <v>54</v>
      </c>
      <c r="H12" t="s">
        <v>55</v>
      </c>
      <c r="K12" s="6"/>
    </row>
    <row r="13" spans="1:11">
      <c r="A13" s="2"/>
      <c r="B13" s="2"/>
      <c r="C13" t="s">
        <v>56</v>
      </c>
      <c r="D13" t="s">
        <v>44</v>
      </c>
      <c r="E13" t="b">
        <v>1</v>
      </c>
      <c r="F13" t="b">
        <v>0</v>
      </c>
      <c r="G13" t="s">
        <v>57</v>
      </c>
      <c r="H13" s="3" t="s">
        <v>46</v>
      </c>
      <c r="K13" s="6"/>
    </row>
    <row r="14" spans="1:11">
      <c r="A14" s="2"/>
      <c r="B14" s="2"/>
      <c r="C14" t="s">
        <v>58</v>
      </c>
      <c r="D14" t="s">
        <v>59</v>
      </c>
      <c r="E14" t="b">
        <v>1</v>
      </c>
      <c r="F14" t="b">
        <v>0</v>
      </c>
      <c r="G14" t="s">
        <v>60</v>
      </c>
      <c r="H14" s="3"/>
      <c r="K14" s="6"/>
    </row>
    <row r="15" spans="1:11">
      <c r="A15" s="2"/>
      <c r="B15" s="2"/>
      <c r="C15" t="s">
        <v>61</v>
      </c>
      <c r="D15" t="s">
        <v>44</v>
      </c>
      <c r="E15" t="b">
        <v>1</v>
      </c>
      <c r="F15" t="b">
        <v>0</v>
      </c>
      <c r="G15" t="s">
        <v>62</v>
      </c>
      <c r="H15" s="3"/>
      <c r="K15" s="6"/>
    </row>
    <row r="16" spans="1:11">
      <c r="A16" s="2"/>
      <c r="B16" s="2"/>
      <c r="C16" t="s">
        <v>63</v>
      </c>
      <c r="D16" t="s">
        <v>44</v>
      </c>
      <c r="E16" t="b">
        <v>1</v>
      </c>
      <c r="F16" t="b">
        <v>0</v>
      </c>
      <c r="G16" t="s">
        <v>64</v>
      </c>
      <c r="H16" s="3"/>
      <c r="K16" s="6"/>
    </row>
    <row r="17" spans="1:11">
      <c r="A17" s="2"/>
      <c r="B17" s="2"/>
      <c r="C17" t="s">
        <v>65</v>
      </c>
      <c r="D17" t="s">
        <v>44</v>
      </c>
      <c r="E17" t="b">
        <v>1</v>
      </c>
      <c r="F17" t="b">
        <v>0</v>
      </c>
      <c r="G17" t="s">
        <v>66</v>
      </c>
      <c r="H17" s="3"/>
      <c r="K17" s="6"/>
    </row>
    <row r="18" spans="1:11">
      <c r="A18" s="2"/>
      <c r="B18" s="2"/>
      <c r="C18" t="s">
        <v>67</v>
      </c>
      <c r="D18" t="s">
        <v>68</v>
      </c>
      <c r="E18" t="b">
        <v>1</v>
      </c>
      <c r="F18" t="b">
        <v>0</v>
      </c>
      <c r="G18" t="s">
        <v>69</v>
      </c>
      <c r="H18" s="6" t="s">
        <v>70</v>
      </c>
      <c r="I18" s="3" t="s">
        <v>71</v>
      </c>
      <c r="K18" s="6"/>
    </row>
    <row r="19" spans="1:11">
      <c r="A19" s="2"/>
      <c r="B19" s="2"/>
      <c r="C19" t="s">
        <v>72</v>
      </c>
      <c r="D19" t="s">
        <v>68</v>
      </c>
      <c r="E19" t="b">
        <v>1</v>
      </c>
      <c r="F19" t="b">
        <v>0</v>
      </c>
      <c r="G19" t="s">
        <v>73</v>
      </c>
      <c r="H19" s="6"/>
      <c r="I19" s="3"/>
      <c r="K19" s="6"/>
    </row>
    <row r="20" spans="1:11">
      <c r="A20" s="2"/>
      <c r="B20" s="2"/>
      <c r="C20" t="s">
        <v>74</v>
      </c>
      <c r="D20" t="s">
        <v>68</v>
      </c>
      <c r="E20" t="b">
        <v>1</v>
      </c>
      <c r="F20" t="b">
        <v>0</v>
      </c>
      <c r="G20" t="s">
        <v>75</v>
      </c>
      <c r="H20" s="6"/>
      <c r="I20" s="3"/>
      <c r="K20" s="6"/>
    </row>
    <row r="21" spans="1:11">
      <c r="A21" s="2"/>
      <c r="B21" s="2"/>
      <c r="C21" t="s">
        <v>76</v>
      </c>
      <c r="D21" t="s">
        <v>68</v>
      </c>
      <c r="E21" t="b">
        <v>1</v>
      </c>
      <c r="F21" t="b">
        <v>0</v>
      </c>
      <c r="G21" t="s">
        <v>77</v>
      </c>
      <c r="H21" s="6"/>
      <c r="I21" s="3"/>
      <c r="K21" s="6"/>
    </row>
    <row r="22" spans="1:11">
      <c r="A22" s="2"/>
      <c r="B22" s="2"/>
      <c r="C22" t="s">
        <v>78</v>
      </c>
      <c r="D22" t="s">
        <v>68</v>
      </c>
      <c r="E22" t="b">
        <v>1</v>
      </c>
      <c r="F22" t="b">
        <v>0</v>
      </c>
      <c r="G22" t="s">
        <v>79</v>
      </c>
      <c r="H22" s="6"/>
      <c r="I22" s="3"/>
      <c r="K22" s="6"/>
    </row>
    <row r="23" spans="1:11">
      <c r="A23" s="2"/>
      <c r="B23" s="2"/>
      <c r="C23" t="s">
        <v>80</v>
      </c>
      <c r="D23" t="s">
        <v>68</v>
      </c>
      <c r="E23" t="b">
        <v>1</v>
      </c>
      <c r="F23" t="b">
        <v>0</v>
      </c>
      <c r="G23" t="s">
        <v>81</v>
      </c>
      <c r="H23" s="6"/>
      <c r="I23" s="3"/>
      <c r="K23" s="6"/>
    </row>
    <row r="24" spans="1:11">
      <c r="A24" s="2"/>
      <c r="B24" s="2"/>
      <c r="C24" t="s">
        <v>82</v>
      </c>
      <c r="D24" t="s">
        <v>68</v>
      </c>
      <c r="E24" t="b">
        <v>1</v>
      </c>
      <c r="F24" t="b">
        <v>0</v>
      </c>
      <c r="G24" t="s">
        <v>83</v>
      </c>
      <c r="H24" s="6"/>
      <c r="I24" s="3"/>
      <c r="K24" s="6"/>
    </row>
    <row r="25" spans="1:11">
      <c r="A25" s="2"/>
      <c r="B25" s="2"/>
      <c r="C25" t="s">
        <v>84</v>
      </c>
      <c r="D25" t="s">
        <v>68</v>
      </c>
      <c r="E25" t="b">
        <v>1</v>
      </c>
      <c r="F25" t="b">
        <v>0</v>
      </c>
      <c r="G25" t="s">
        <v>85</v>
      </c>
      <c r="H25" s="6"/>
      <c r="I25" s="3"/>
      <c r="K25" s="6"/>
    </row>
    <row r="26" spans="1:11">
      <c r="A26" s="2"/>
      <c r="B26" s="2"/>
      <c r="C26" t="s">
        <v>86</v>
      </c>
      <c r="D26" t="s">
        <v>31</v>
      </c>
      <c r="E26" t="b">
        <v>1</v>
      </c>
      <c r="F26" t="b">
        <v>0</v>
      </c>
      <c r="G26" t="s">
        <v>87</v>
      </c>
      <c r="J26">
        <v>6006</v>
      </c>
      <c r="K26" t="s">
        <v>88</v>
      </c>
    </row>
    <row r="27" spans="1:10">
      <c r="A27" s="2"/>
      <c r="B27" s="2"/>
      <c r="C27" t="s">
        <v>89</v>
      </c>
      <c r="D27" t="s">
        <v>31</v>
      </c>
      <c r="E27" t="b">
        <v>0</v>
      </c>
      <c r="F27" t="b">
        <v>0</v>
      </c>
      <c r="G27" t="s">
        <v>90</v>
      </c>
      <c r="J27">
        <v>6003</v>
      </c>
    </row>
    <row r="28" spans="1:10">
      <c r="A28" s="2"/>
      <c r="B28" s="2"/>
      <c r="C28" t="s">
        <v>91</v>
      </c>
      <c r="D28" t="s">
        <v>31</v>
      </c>
      <c r="E28" t="b">
        <v>0</v>
      </c>
      <c r="F28" t="b">
        <v>0</v>
      </c>
      <c r="G28" t="s">
        <v>92</v>
      </c>
      <c r="J28">
        <v>6003</v>
      </c>
    </row>
    <row r="29" spans="1:13">
      <c r="A29" s="2"/>
      <c r="B29" s="2"/>
      <c r="C29" t="s">
        <v>93</v>
      </c>
      <c r="D29" t="s">
        <v>44</v>
      </c>
      <c r="E29" t="b">
        <v>1</v>
      </c>
      <c r="F29" t="b">
        <v>0</v>
      </c>
      <c r="G29" t="s">
        <v>94</v>
      </c>
      <c r="H29" s="3" t="s">
        <v>46</v>
      </c>
      <c r="K29" s="3" t="s">
        <v>95</v>
      </c>
      <c r="M29">
        <v>0</v>
      </c>
    </row>
    <row r="30" spans="1:13">
      <c r="A30" s="2"/>
      <c r="B30" s="2"/>
      <c r="C30" t="s">
        <v>96</v>
      </c>
      <c r="D30" t="s">
        <v>44</v>
      </c>
      <c r="E30" t="b">
        <v>1</v>
      </c>
      <c r="F30" t="b">
        <v>0</v>
      </c>
      <c r="G30" t="s">
        <v>97</v>
      </c>
      <c r="H30" s="3"/>
      <c r="K30" s="3"/>
      <c r="M30">
        <v>0</v>
      </c>
    </row>
    <row r="31" spans="1:8">
      <c r="A31" s="2"/>
      <c r="B31" s="2"/>
      <c r="C31" t="s">
        <v>98</v>
      </c>
      <c r="D31" t="s">
        <v>59</v>
      </c>
      <c r="E31" t="b">
        <v>1</v>
      </c>
      <c r="F31" t="b">
        <v>0</v>
      </c>
      <c r="G31" t="s">
        <v>99</v>
      </c>
      <c r="H31" t="s">
        <v>100</v>
      </c>
    </row>
    <row r="32" spans="1:10">
      <c r="A32" s="2"/>
      <c r="B32" s="2"/>
      <c r="C32" t="s">
        <v>101</v>
      </c>
      <c r="D32" t="s">
        <v>31</v>
      </c>
      <c r="E32" t="b">
        <v>1</v>
      </c>
      <c r="F32" t="b">
        <v>0</v>
      </c>
      <c r="G32" t="s">
        <v>102</v>
      </c>
      <c r="J32">
        <v>6005</v>
      </c>
    </row>
    <row r="33" spans="1:7">
      <c r="A33" s="2"/>
      <c r="B33" s="2"/>
      <c r="C33" t="s">
        <v>103</v>
      </c>
      <c r="D33" t="s">
        <v>44</v>
      </c>
      <c r="E33" t="b">
        <v>1</v>
      </c>
      <c r="F33" t="b">
        <v>0</v>
      </c>
      <c r="G33" t="s">
        <v>104</v>
      </c>
    </row>
    <row r="34" spans="1:11">
      <c r="A34" s="2"/>
      <c r="B34" s="2"/>
      <c r="C34" t="s">
        <v>105</v>
      </c>
      <c r="D34" t="s">
        <v>31</v>
      </c>
      <c r="E34" t="b">
        <v>1</v>
      </c>
      <c r="F34" t="b">
        <v>0</v>
      </c>
      <c r="G34" t="s">
        <v>106</v>
      </c>
      <c r="J34">
        <v>6007</v>
      </c>
      <c r="K34" t="s">
        <v>107</v>
      </c>
    </row>
    <row r="35" spans="1:11">
      <c r="A35" s="2"/>
      <c r="B35" s="2"/>
      <c r="C35" t="s">
        <v>108</v>
      </c>
      <c r="D35" t="s">
        <v>31</v>
      </c>
      <c r="E35" t="b">
        <v>1</v>
      </c>
      <c r="F35" t="b">
        <v>0</v>
      </c>
      <c r="G35" t="s">
        <v>109</v>
      </c>
      <c r="J35">
        <v>6003</v>
      </c>
      <c r="K35" t="s">
        <v>110</v>
      </c>
    </row>
    <row r="36" spans="1:10">
      <c r="A36" s="2"/>
      <c r="B36" s="2"/>
      <c r="C36" t="s">
        <v>111</v>
      </c>
      <c r="D36" t="s">
        <v>31</v>
      </c>
      <c r="E36" t="b">
        <v>1</v>
      </c>
      <c r="F36" t="b">
        <v>0</v>
      </c>
      <c r="G36" t="s">
        <v>112</v>
      </c>
      <c r="J36">
        <v>6018</v>
      </c>
    </row>
    <row r="37" spans="1:10">
      <c r="A37" s="2"/>
      <c r="B37" s="2"/>
      <c r="C37" t="s">
        <v>113</v>
      </c>
      <c r="D37" t="s">
        <v>31</v>
      </c>
      <c r="E37" t="b">
        <v>1</v>
      </c>
      <c r="F37" t="b">
        <v>0</v>
      </c>
      <c r="G37" t="s">
        <v>114</v>
      </c>
      <c r="J37">
        <v>6003</v>
      </c>
    </row>
    <row r="38" spans="1:10">
      <c r="A38" s="2"/>
      <c r="B38" s="2"/>
      <c r="C38" t="s">
        <v>115</v>
      </c>
      <c r="D38" t="s">
        <v>31</v>
      </c>
      <c r="E38" t="b">
        <v>1</v>
      </c>
      <c r="F38" t="b">
        <v>0</v>
      </c>
      <c r="G38" t="s">
        <v>116</v>
      </c>
      <c r="J38">
        <v>6003</v>
      </c>
    </row>
    <row r="39" spans="1:10">
      <c r="A39" s="2"/>
      <c r="B39" s="2"/>
      <c r="C39" t="s">
        <v>117</v>
      </c>
      <c r="D39" t="s">
        <v>31</v>
      </c>
      <c r="E39" t="b">
        <v>1</v>
      </c>
      <c r="F39" t="b">
        <v>0</v>
      </c>
      <c r="G39" t="s">
        <v>118</v>
      </c>
      <c r="J39">
        <v>6003</v>
      </c>
    </row>
    <row r="40" spans="1:12">
      <c r="A40" s="2"/>
      <c r="B40" s="2"/>
      <c r="C40" t="s">
        <v>119</v>
      </c>
      <c r="D40" t="s">
        <v>31</v>
      </c>
      <c r="E40" t="b">
        <v>1</v>
      </c>
      <c r="F40" t="b">
        <v>0</v>
      </c>
      <c r="G40" t="s">
        <v>120</v>
      </c>
      <c r="J40">
        <v>6003</v>
      </c>
      <c r="L40" t="s">
        <v>121</v>
      </c>
    </row>
    <row r="41" spans="1:10">
      <c r="A41" s="2"/>
      <c r="B41" s="2"/>
      <c r="C41" t="s">
        <v>122</v>
      </c>
      <c r="D41" t="s">
        <v>31</v>
      </c>
      <c r="E41" t="b">
        <v>1</v>
      </c>
      <c r="F41" t="b">
        <v>0</v>
      </c>
      <c r="G41" t="s">
        <v>123</v>
      </c>
      <c r="J41">
        <v>6003</v>
      </c>
    </row>
    <row r="42" spans="1:7">
      <c r="A42" s="2" t="s">
        <v>124</v>
      </c>
      <c r="B42" s="2" t="s">
        <v>125</v>
      </c>
      <c r="C42" t="s">
        <v>20</v>
      </c>
      <c r="D42" t="s">
        <v>21</v>
      </c>
      <c r="E42" t="b">
        <v>0</v>
      </c>
      <c r="F42" t="b">
        <v>1</v>
      </c>
      <c r="G42" t="s">
        <v>22</v>
      </c>
    </row>
    <row r="43" spans="1:9">
      <c r="A43" s="2"/>
      <c r="B43" s="2"/>
      <c r="C43" t="s">
        <v>126</v>
      </c>
      <c r="D43" t="s">
        <v>21</v>
      </c>
      <c r="E43" t="b">
        <v>0</v>
      </c>
      <c r="F43" t="b">
        <v>1</v>
      </c>
      <c r="G43" t="s">
        <v>24</v>
      </c>
      <c r="H43" t="s">
        <v>127</v>
      </c>
      <c r="I43" t="s">
        <v>128</v>
      </c>
    </row>
    <row r="44" spans="1:7">
      <c r="A44" s="2"/>
      <c r="B44" s="2"/>
      <c r="C44" t="s">
        <v>27</v>
      </c>
      <c r="D44" t="s">
        <v>28</v>
      </c>
      <c r="E44" t="b">
        <v>0</v>
      </c>
      <c r="F44" t="b">
        <v>1</v>
      </c>
      <c r="G44" t="s">
        <v>129</v>
      </c>
    </row>
    <row r="45" spans="1:10">
      <c r="A45" s="2"/>
      <c r="B45" s="2"/>
      <c r="C45" t="s">
        <v>130</v>
      </c>
      <c r="D45" t="s">
        <v>31</v>
      </c>
      <c r="E45" t="b">
        <v>0</v>
      </c>
      <c r="F45" t="b">
        <v>0</v>
      </c>
      <c r="G45" t="s">
        <v>131</v>
      </c>
      <c r="J45">
        <f>6008</f>
        <v>6008</v>
      </c>
    </row>
    <row r="46" spans="1:10">
      <c r="A46" s="2"/>
      <c r="B46" s="2"/>
      <c r="C46" t="s">
        <v>132</v>
      </c>
      <c r="D46" t="s">
        <v>31</v>
      </c>
      <c r="E46" t="b">
        <v>0</v>
      </c>
      <c r="F46" t="b">
        <v>0</v>
      </c>
      <c r="G46" t="s">
        <v>133</v>
      </c>
      <c r="J46">
        <v>6010</v>
      </c>
    </row>
    <row r="47" spans="1:8">
      <c r="A47" s="2"/>
      <c r="B47" s="2"/>
      <c r="C47" t="s">
        <v>134</v>
      </c>
      <c r="D47" t="s">
        <v>68</v>
      </c>
      <c r="E47" t="b">
        <v>1</v>
      </c>
      <c r="F47" t="b">
        <v>0</v>
      </c>
      <c r="G47" t="s">
        <v>135</v>
      </c>
      <c r="H47" t="s">
        <v>136</v>
      </c>
    </row>
    <row r="48" spans="1:11">
      <c r="A48" s="2"/>
      <c r="B48" s="2"/>
      <c r="C48" t="s">
        <v>137</v>
      </c>
      <c r="D48" t="s">
        <v>31</v>
      </c>
      <c r="E48" t="b">
        <v>0</v>
      </c>
      <c r="F48" t="b">
        <v>0</v>
      </c>
      <c r="G48" t="s">
        <v>138</v>
      </c>
      <c r="J48">
        <v>6011</v>
      </c>
      <c r="K48" t="s">
        <v>139</v>
      </c>
    </row>
    <row r="49" spans="1:10">
      <c r="A49" s="2"/>
      <c r="B49" s="2"/>
      <c r="C49" t="s">
        <v>140</v>
      </c>
      <c r="D49" t="s">
        <v>31</v>
      </c>
      <c r="E49" t="b">
        <v>0</v>
      </c>
      <c r="F49" t="b">
        <v>1</v>
      </c>
      <c r="G49" t="s">
        <v>141</v>
      </c>
      <c r="J49">
        <v>6012</v>
      </c>
    </row>
    <row r="50" spans="1:11">
      <c r="A50" s="2"/>
      <c r="B50" s="2"/>
      <c r="C50" t="s">
        <v>142</v>
      </c>
      <c r="D50" t="s">
        <v>143</v>
      </c>
      <c r="E50" t="b">
        <v>1</v>
      </c>
      <c r="F50" t="b">
        <v>1</v>
      </c>
      <c r="G50" t="s">
        <v>144</v>
      </c>
      <c r="K50" t="s">
        <v>145</v>
      </c>
    </row>
    <row r="51" ht="21" customHeight="1" spans="1:12">
      <c r="A51" s="2"/>
      <c r="B51" s="2"/>
      <c r="C51" t="s">
        <v>119</v>
      </c>
      <c r="D51" t="s">
        <v>31</v>
      </c>
      <c r="E51" t="b">
        <v>1</v>
      </c>
      <c r="F51" t="b">
        <v>0</v>
      </c>
      <c r="G51" t="s">
        <v>120</v>
      </c>
      <c r="J51">
        <v>6003</v>
      </c>
      <c r="L51" s="6" t="s">
        <v>146</v>
      </c>
    </row>
  </sheetData>
  <mergeCells count="11">
    <mergeCell ref="A2:A41"/>
    <mergeCell ref="A42:A51"/>
    <mergeCell ref="B2:B41"/>
    <mergeCell ref="B42:B51"/>
    <mergeCell ref="H9:H11"/>
    <mergeCell ref="H13:H17"/>
    <mergeCell ref="H18:H25"/>
    <mergeCell ref="H29:H30"/>
    <mergeCell ref="I18:I25"/>
    <mergeCell ref="K9:K25"/>
    <mergeCell ref="K29:K30"/>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workbookViewId="0">
      <selection activeCell="A42" sqref="A42"/>
    </sheetView>
  </sheetViews>
  <sheetFormatPr defaultColWidth="9" defaultRowHeight="14.25"/>
  <cols>
    <col min="1" max="1" width="39" customWidth="1"/>
    <col min="2" max="2" width="14.75" customWidth="1"/>
    <col min="3" max="3" width="18.375" customWidth="1"/>
    <col min="4" max="4" width="21.5" customWidth="1"/>
  </cols>
  <sheetData>
    <row r="1" spans="1:12">
      <c r="A1" t="s">
        <v>5</v>
      </c>
      <c r="B1" t="s">
        <v>6</v>
      </c>
      <c r="C1" t="s">
        <v>7</v>
      </c>
      <c r="D1" t="s">
        <v>8</v>
      </c>
      <c r="E1" t="s">
        <v>9</v>
      </c>
      <c r="F1" t="s">
        <v>10</v>
      </c>
      <c r="G1" t="s">
        <v>11</v>
      </c>
      <c r="H1" t="s">
        <v>12</v>
      </c>
      <c r="I1" t="s">
        <v>13</v>
      </c>
      <c r="J1" t="s">
        <v>14</v>
      </c>
      <c r="K1" t="s">
        <v>15</v>
      </c>
      <c r="L1" t="s">
        <v>16</v>
      </c>
    </row>
    <row r="2" spans="1:10">
      <c r="A2" s="2" t="s">
        <v>147</v>
      </c>
      <c r="B2" s="2" t="s">
        <v>148</v>
      </c>
      <c r="C2" t="s">
        <v>149</v>
      </c>
      <c r="D2" t="s">
        <v>31</v>
      </c>
      <c r="E2" t="b">
        <v>0</v>
      </c>
      <c r="F2" t="b">
        <v>1</v>
      </c>
      <c r="G2" t="s">
        <v>150</v>
      </c>
      <c r="I2" s="5"/>
      <c r="J2" s="5">
        <v>3002</v>
      </c>
    </row>
    <row r="3" spans="1:7">
      <c r="A3" s="2"/>
      <c r="B3" s="2"/>
      <c r="C3" t="s">
        <v>27</v>
      </c>
      <c r="D3" t="s">
        <v>28</v>
      </c>
      <c r="E3" t="b">
        <v>0</v>
      </c>
      <c r="F3" t="b">
        <v>1</v>
      </c>
      <c r="G3" t="s">
        <v>151</v>
      </c>
    </row>
    <row r="4" spans="1:7">
      <c r="A4" s="2"/>
      <c r="B4" s="2"/>
      <c r="C4" t="s">
        <v>152</v>
      </c>
      <c r="D4" t="s">
        <v>153</v>
      </c>
      <c r="E4" t="b">
        <v>0</v>
      </c>
      <c r="F4" t="b">
        <v>1</v>
      </c>
      <c r="G4" t="s">
        <v>154</v>
      </c>
    </row>
    <row r="5" spans="1:7">
      <c r="A5" s="2"/>
      <c r="B5" s="2"/>
      <c r="C5" t="s">
        <v>155</v>
      </c>
      <c r="D5" t="s">
        <v>156</v>
      </c>
      <c r="E5" t="b">
        <v>0</v>
      </c>
      <c r="F5" t="b">
        <v>0</v>
      </c>
      <c r="G5" t="s">
        <v>157</v>
      </c>
    </row>
    <row r="6" spans="1:7">
      <c r="A6" s="2" t="s">
        <v>158</v>
      </c>
      <c r="B6" s="2" t="s">
        <v>159</v>
      </c>
      <c r="C6" t="s">
        <v>149</v>
      </c>
      <c r="D6" t="s">
        <v>28</v>
      </c>
      <c r="E6" t="b">
        <v>0</v>
      </c>
      <c r="F6" t="b">
        <v>1</v>
      </c>
      <c r="G6" t="s">
        <v>150</v>
      </c>
    </row>
    <row r="7" spans="1:7">
      <c r="A7" s="2"/>
      <c r="B7" s="2"/>
      <c r="C7" t="s">
        <v>27</v>
      </c>
      <c r="D7" t="s">
        <v>28</v>
      </c>
      <c r="E7" t="b">
        <v>0</v>
      </c>
      <c r="F7" t="b">
        <v>1</v>
      </c>
      <c r="G7" t="s">
        <v>160</v>
      </c>
    </row>
    <row r="8" spans="1:9">
      <c r="A8" s="2"/>
      <c r="B8" s="2"/>
      <c r="C8" t="s">
        <v>152</v>
      </c>
      <c r="D8" t="s">
        <v>153</v>
      </c>
      <c r="E8" t="b">
        <v>0</v>
      </c>
      <c r="F8" t="b">
        <v>1</v>
      </c>
      <c r="G8" t="s">
        <v>154</v>
      </c>
      <c r="I8" t="s">
        <v>161</v>
      </c>
    </row>
    <row r="9" spans="1:7">
      <c r="A9" s="2"/>
      <c r="B9" s="2"/>
      <c r="C9" t="s">
        <v>162</v>
      </c>
      <c r="D9" t="s">
        <v>156</v>
      </c>
      <c r="E9" t="b">
        <v>0</v>
      </c>
      <c r="F9" t="b">
        <v>0</v>
      </c>
      <c r="G9" t="s">
        <v>163</v>
      </c>
    </row>
    <row r="10" ht="15" customHeight="1" spans="1:8">
      <c r="A10" s="2" t="s">
        <v>164</v>
      </c>
      <c r="B10" s="2" t="s">
        <v>165</v>
      </c>
      <c r="C10" t="s">
        <v>166</v>
      </c>
      <c r="D10" t="s">
        <v>153</v>
      </c>
      <c r="E10" t="b">
        <v>0</v>
      </c>
      <c r="F10" t="b">
        <v>1</v>
      </c>
      <c r="G10" t="s">
        <v>151</v>
      </c>
      <c r="H10" t="s">
        <v>167</v>
      </c>
    </row>
    <row r="11" spans="1:9">
      <c r="A11" s="2"/>
      <c r="B11" s="2"/>
      <c r="C11" t="s">
        <v>168</v>
      </c>
      <c r="D11" t="s">
        <v>68</v>
      </c>
      <c r="E11" t="b">
        <v>0</v>
      </c>
      <c r="F11" t="b">
        <v>0</v>
      </c>
      <c r="G11" t="s">
        <v>169</v>
      </c>
      <c r="H11" t="s">
        <v>170</v>
      </c>
      <c r="I11" t="s">
        <v>171</v>
      </c>
    </row>
    <row r="12" spans="1:9">
      <c r="A12" s="2"/>
      <c r="B12" s="2"/>
      <c r="C12" t="s">
        <v>172</v>
      </c>
      <c r="D12" t="s">
        <v>68</v>
      </c>
      <c r="E12" t="b">
        <v>0</v>
      </c>
      <c r="F12" t="b">
        <v>0</v>
      </c>
      <c r="G12" t="s">
        <v>173</v>
      </c>
      <c r="I12" t="s">
        <v>174</v>
      </c>
    </row>
    <row r="13" spans="1:7">
      <c r="A13" s="2" t="s">
        <v>175</v>
      </c>
      <c r="B13" s="2" t="s">
        <v>176</v>
      </c>
      <c r="C13" t="s">
        <v>149</v>
      </c>
      <c r="D13" t="s">
        <v>31</v>
      </c>
      <c r="E13" t="b">
        <v>0</v>
      </c>
      <c r="F13" t="b">
        <v>1</v>
      </c>
      <c r="G13" t="s">
        <v>150</v>
      </c>
    </row>
    <row r="14" spans="1:8">
      <c r="A14" s="2"/>
      <c r="B14" s="2"/>
      <c r="C14" t="s">
        <v>177</v>
      </c>
      <c r="D14" t="s">
        <v>68</v>
      </c>
      <c r="E14" t="b">
        <v>0</v>
      </c>
      <c r="F14" t="b">
        <v>0</v>
      </c>
      <c r="G14" t="s">
        <v>178</v>
      </c>
      <c r="H14" t="s">
        <v>179</v>
      </c>
    </row>
    <row r="15" spans="1:10">
      <c r="A15" s="2"/>
      <c r="B15" s="2"/>
      <c r="C15" t="s">
        <v>180</v>
      </c>
      <c r="D15" t="s">
        <v>31</v>
      </c>
      <c r="E15" t="b">
        <v>0</v>
      </c>
      <c r="F15" t="b">
        <v>1</v>
      </c>
      <c r="G15" t="s">
        <v>181</v>
      </c>
      <c r="J15">
        <v>6003</v>
      </c>
    </row>
    <row r="16" spans="1:7">
      <c r="A16" s="2"/>
      <c r="B16" s="2"/>
      <c r="C16" t="s">
        <v>27</v>
      </c>
      <c r="D16" t="s">
        <v>28</v>
      </c>
      <c r="E16" t="b">
        <v>0</v>
      </c>
      <c r="F16" t="b">
        <v>1</v>
      </c>
      <c r="G16" t="s">
        <v>151</v>
      </c>
    </row>
    <row r="17" spans="1:7">
      <c r="A17" s="2" t="s">
        <v>182</v>
      </c>
      <c r="B17" s="2" t="s">
        <v>183</v>
      </c>
      <c r="C17" t="s">
        <v>149</v>
      </c>
      <c r="D17" t="s">
        <v>31</v>
      </c>
      <c r="E17" t="b">
        <v>0</v>
      </c>
      <c r="F17" t="b">
        <v>1</v>
      </c>
      <c r="G17" t="s">
        <v>150</v>
      </c>
    </row>
    <row r="18" spans="1:12">
      <c r="A18" s="2"/>
      <c r="B18" s="2"/>
      <c r="C18" t="s">
        <v>130</v>
      </c>
      <c r="D18" t="s">
        <v>31</v>
      </c>
      <c r="E18" t="b">
        <v>0</v>
      </c>
      <c r="F18" t="b">
        <v>0</v>
      </c>
      <c r="G18" t="s">
        <v>131</v>
      </c>
      <c r="J18">
        <v>6008</v>
      </c>
      <c r="L18" t="s">
        <v>184</v>
      </c>
    </row>
    <row r="19" spans="1:12">
      <c r="A19" s="2"/>
      <c r="B19" s="2"/>
      <c r="C19" t="s">
        <v>137</v>
      </c>
      <c r="D19" t="s">
        <v>31</v>
      </c>
      <c r="E19" t="b">
        <v>0</v>
      </c>
      <c r="F19" t="b">
        <v>0</v>
      </c>
      <c r="G19" t="s">
        <v>185</v>
      </c>
      <c r="J19">
        <v>6011</v>
      </c>
      <c r="L19" t="s">
        <v>184</v>
      </c>
    </row>
    <row r="20" spans="1:12">
      <c r="A20" s="2"/>
      <c r="B20" s="2"/>
      <c r="C20" t="s">
        <v>132</v>
      </c>
      <c r="D20" t="s">
        <v>31</v>
      </c>
      <c r="E20" t="b">
        <v>0</v>
      </c>
      <c r="F20" t="b">
        <v>0</v>
      </c>
      <c r="G20" t="s">
        <v>186</v>
      </c>
      <c r="J20">
        <v>6010</v>
      </c>
      <c r="L20" t="s">
        <v>184</v>
      </c>
    </row>
    <row r="21" spans="1:12">
      <c r="A21" s="2"/>
      <c r="B21" s="2"/>
      <c r="C21" t="s">
        <v>140</v>
      </c>
      <c r="D21" t="s">
        <v>31</v>
      </c>
      <c r="E21" t="b">
        <v>0</v>
      </c>
      <c r="F21" t="b">
        <v>0</v>
      </c>
      <c r="G21" t="s">
        <v>187</v>
      </c>
      <c r="J21">
        <v>6012</v>
      </c>
      <c r="L21" t="s">
        <v>184</v>
      </c>
    </row>
    <row r="22" spans="1:7">
      <c r="A22" s="2"/>
      <c r="B22" s="2"/>
      <c r="C22" t="s">
        <v>27</v>
      </c>
      <c r="D22" t="s">
        <v>28</v>
      </c>
      <c r="E22" t="b">
        <v>0</v>
      </c>
      <c r="F22" t="b">
        <v>1</v>
      </c>
      <c r="G22" t="s">
        <v>160</v>
      </c>
    </row>
  </sheetData>
  <mergeCells count="10">
    <mergeCell ref="A2:A5"/>
    <mergeCell ref="A6:A9"/>
    <mergeCell ref="A10:A12"/>
    <mergeCell ref="A13:A16"/>
    <mergeCell ref="A17:A22"/>
    <mergeCell ref="B2:B5"/>
    <mergeCell ref="B6:B9"/>
    <mergeCell ref="B10:B12"/>
    <mergeCell ref="B13:B16"/>
    <mergeCell ref="B17:B22"/>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1"/>
  <sheetViews>
    <sheetView tabSelected="1" topLeftCell="A72" workbookViewId="0">
      <selection activeCell="G67" sqref="G67"/>
    </sheetView>
  </sheetViews>
  <sheetFormatPr defaultColWidth="9" defaultRowHeight="14.25"/>
  <cols>
    <col min="1" max="2" width="26.625" customWidth="1"/>
    <col min="3" max="3" width="28.625" customWidth="1"/>
    <col min="4" max="4" width="22.375" customWidth="1"/>
    <col min="12" max="12" width="32" customWidth="1"/>
  </cols>
  <sheetData>
    <row r="1" spans="1:12">
      <c r="A1" t="s">
        <v>5</v>
      </c>
      <c r="B1" t="s">
        <v>6</v>
      </c>
      <c r="C1" t="s">
        <v>7</v>
      </c>
      <c r="D1" t="s">
        <v>8</v>
      </c>
      <c r="E1" t="s">
        <v>9</v>
      </c>
      <c r="F1" t="s">
        <v>10</v>
      </c>
      <c r="G1" t="s">
        <v>11</v>
      </c>
      <c r="H1" t="s">
        <v>12</v>
      </c>
      <c r="I1" t="s">
        <v>13</v>
      </c>
      <c r="J1" t="s">
        <v>14</v>
      </c>
      <c r="K1" t="s">
        <v>15</v>
      </c>
      <c r="L1" t="s">
        <v>16</v>
      </c>
    </row>
    <row r="2" spans="1:7">
      <c r="A2" s="2" t="s">
        <v>188</v>
      </c>
      <c r="B2" s="2" t="s">
        <v>189</v>
      </c>
      <c r="C2" t="s">
        <v>20</v>
      </c>
      <c r="D2" t="s">
        <v>21</v>
      </c>
      <c r="E2" t="b">
        <v>0</v>
      </c>
      <c r="F2" t="b">
        <v>1</v>
      </c>
      <c r="G2" t="s">
        <v>22</v>
      </c>
    </row>
    <row r="3" ht="15" customHeight="1" spans="1:7">
      <c r="A3" s="2"/>
      <c r="B3" s="2"/>
      <c r="C3" t="s">
        <v>190</v>
      </c>
      <c r="D3" t="s">
        <v>153</v>
      </c>
      <c r="E3" t="b">
        <v>0</v>
      </c>
      <c r="F3" t="b">
        <v>1</v>
      </c>
      <c r="G3" t="s">
        <v>191</v>
      </c>
    </row>
    <row r="4" spans="1:7">
      <c r="A4" s="2"/>
      <c r="B4" s="2"/>
      <c r="C4" t="s">
        <v>27</v>
      </c>
      <c r="D4" t="s">
        <v>28</v>
      </c>
      <c r="E4" t="b">
        <v>0</v>
      </c>
      <c r="F4" t="b">
        <v>1</v>
      </c>
      <c r="G4" t="s">
        <v>192</v>
      </c>
    </row>
    <row r="5" spans="1:8">
      <c r="A5" s="2"/>
      <c r="B5" s="2"/>
      <c r="C5" t="s">
        <v>126</v>
      </c>
      <c r="D5" t="s">
        <v>21</v>
      </c>
      <c r="E5" t="b">
        <v>0</v>
      </c>
      <c r="F5" t="b">
        <v>1</v>
      </c>
      <c r="G5" t="s">
        <v>24</v>
      </c>
      <c r="H5" t="s">
        <v>127</v>
      </c>
    </row>
    <row r="6" spans="1:7">
      <c r="A6" s="2"/>
      <c r="B6" s="2"/>
      <c r="C6" t="s">
        <v>152</v>
      </c>
      <c r="D6" t="s">
        <v>153</v>
      </c>
      <c r="E6" t="b">
        <v>0</v>
      </c>
      <c r="F6" t="b">
        <v>0</v>
      </c>
      <c r="G6" t="s">
        <v>193</v>
      </c>
    </row>
    <row r="7" spans="1:7">
      <c r="A7" s="2"/>
      <c r="B7" s="2"/>
      <c r="C7" t="s">
        <v>194</v>
      </c>
      <c r="D7" t="s">
        <v>153</v>
      </c>
      <c r="E7" t="b">
        <v>1</v>
      </c>
      <c r="F7" t="b">
        <v>0</v>
      </c>
      <c r="G7" t="s">
        <v>195</v>
      </c>
    </row>
    <row r="8" spans="1:7">
      <c r="A8" s="2"/>
      <c r="B8" s="2"/>
      <c r="C8" t="s">
        <v>196</v>
      </c>
      <c r="D8" t="s">
        <v>59</v>
      </c>
      <c r="E8" t="b">
        <v>1</v>
      </c>
      <c r="F8" t="b">
        <v>0</v>
      </c>
      <c r="G8" t="s">
        <v>197</v>
      </c>
    </row>
    <row r="9" spans="1:7">
      <c r="A9" s="2"/>
      <c r="B9" s="2"/>
      <c r="C9" t="s">
        <v>198</v>
      </c>
      <c r="D9" t="s">
        <v>59</v>
      </c>
      <c r="E9" t="b">
        <v>1</v>
      </c>
      <c r="F9" t="b">
        <v>0</v>
      </c>
      <c r="G9" t="s">
        <v>199</v>
      </c>
    </row>
    <row r="10" spans="1:7">
      <c r="A10" s="2"/>
      <c r="B10" s="2"/>
      <c r="C10" t="s">
        <v>200</v>
      </c>
      <c r="D10" t="s">
        <v>59</v>
      </c>
      <c r="E10" t="b">
        <v>1</v>
      </c>
      <c r="F10" t="b">
        <v>0</v>
      </c>
      <c r="G10" t="s">
        <v>201</v>
      </c>
    </row>
    <row r="11" spans="1:7">
      <c r="A11" s="2"/>
      <c r="B11" s="2"/>
      <c r="C11" t="s">
        <v>202</v>
      </c>
      <c r="D11" t="s">
        <v>68</v>
      </c>
      <c r="E11" t="b">
        <v>1</v>
      </c>
      <c r="F11" t="b">
        <v>0</v>
      </c>
      <c r="G11" t="s">
        <v>203</v>
      </c>
    </row>
    <row r="12" spans="1:7">
      <c r="A12" s="2"/>
      <c r="B12" s="2"/>
      <c r="C12" t="s">
        <v>204</v>
      </c>
      <c r="D12" t="s">
        <v>68</v>
      </c>
      <c r="E12" t="b">
        <v>1</v>
      </c>
      <c r="F12" t="b">
        <v>0</v>
      </c>
      <c r="G12" t="s">
        <v>205</v>
      </c>
    </row>
    <row r="13" spans="1:7">
      <c r="A13" s="2"/>
      <c r="B13" s="2"/>
      <c r="C13" t="s">
        <v>206</v>
      </c>
      <c r="D13" t="s">
        <v>31</v>
      </c>
      <c r="E13" t="b">
        <v>0</v>
      </c>
      <c r="F13" t="b">
        <v>0</v>
      </c>
      <c r="G13" t="s">
        <v>207</v>
      </c>
    </row>
    <row r="14" spans="1:7">
      <c r="A14" s="2" t="s">
        <v>208</v>
      </c>
      <c r="B14" s="2" t="s">
        <v>209</v>
      </c>
      <c r="C14" t="s">
        <v>20</v>
      </c>
      <c r="D14" t="s">
        <v>21</v>
      </c>
      <c r="E14" t="b">
        <v>0</v>
      </c>
      <c r="F14" t="b">
        <v>1</v>
      </c>
      <c r="G14" t="s">
        <v>22</v>
      </c>
    </row>
    <row r="15" spans="1:7">
      <c r="A15" s="2"/>
      <c r="B15" s="2"/>
      <c r="C15" t="s">
        <v>27</v>
      </c>
      <c r="D15" t="s">
        <v>28</v>
      </c>
      <c r="E15" t="b">
        <v>0</v>
      </c>
      <c r="F15" t="b">
        <v>1</v>
      </c>
      <c r="G15" t="s">
        <v>192</v>
      </c>
    </row>
    <row r="16" spans="1:7">
      <c r="A16" s="2"/>
      <c r="B16" s="2"/>
      <c r="C16" t="s">
        <v>190</v>
      </c>
      <c r="D16" t="s">
        <v>153</v>
      </c>
      <c r="E16" t="b">
        <v>0</v>
      </c>
      <c r="F16" t="b">
        <v>1</v>
      </c>
      <c r="G16" t="s">
        <v>191</v>
      </c>
    </row>
    <row r="17" spans="1:7">
      <c r="A17" s="2"/>
      <c r="B17" s="2"/>
      <c r="C17" t="s">
        <v>126</v>
      </c>
      <c r="D17" t="s">
        <v>21</v>
      </c>
      <c r="E17" t="b">
        <v>0</v>
      </c>
      <c r="F17" t="b">
        <v>1</v>
      </c>
      <c r="G17" t="s">
        <v>24</v>
      </c>
    </row>
    <row r="18" spans="1:7">
      <c r="A18" s="2"/>
      <c r="B18" s="2"/>
      <c r="C18" t="s">
        <v>172</v>
      </c>
      <c r="D18" t="s">
        <v>68</v>
      </c>
      <c r="E18" t="b">
        <v>0</v>
      </c>
      <c r="F18" t="b">
        <v>1</v>
      </c>
      <c r="G18" t="s">
        <v>210</v>
      </c>
    </row>
    <row r="19" spans="1:7">
      <c r="A19" s="2"/>
      <c r="B19" s="2"/>
      <c r="C19" t="s">
        <v>202</v>
      </c>
      <c r="D19" t="s">
        <v>68</v>
      </c>
      <c r="E19" t="b">
        <v>0</v>
      </c>
      <c r="F19" t="b">
        <v>0</v>
      </c>
      <c r="G19" t="s">
        <v>211</v>
      </c>
    </row>
    <row r="20" spans="1:7">
      <c r="A20" s="2"/>
      <c r="B20" s="2"/>
      <c r="C20" t="s">
        <v>212</v>
      </c>
      <c r="D20" t="s">
        <v>59</v>
      </c>
      <c r="E20" t="b">
        <v>1</v>
      </c>
      <c r="F20" t="b">
        <v>0</v>
      </c>
      <c r="G20" t="s">
        <v>213</v>
      </c>
    </row>
    <row r="21" spans="1:7">
      <c r="A21" s="2" t="s">
        <v>214</v>
      </c>
      <c r="B21" s="2" t="s">
        <v>215</v>
      </c>
      <c r="C21" t="s">
        <v>20</v>
      </c>
      <c r="D21" t="s">
        <v>21</v>
      </c>
      <c r="E21" t="b">
        <v>0</v>
      </c>
      <c r="F21" t="b">
        <v>1</v>
      </c>
      <c r="G21" t="s">
        <v>22</v>
      </c>
    </row>
    <row r="22" spans="1:7">
      <c r="A22" s="2"/>
      <c r="B22" s="2"/>
      <c r="C22" t="s">
        <v>27</v>
      </c>
      <c r="D22" t="s">
        <v>28</v>
      </c>
      <c r="E22" t="b">
        <v>0</v>
      </c>
      <c r="F22" t="b">
        <v>1</v>
      </c>
      <c r="G22" t="s">
        <v>192</v>
      </c>
    </row>
    <row r="23" spans="1:7">
      <c r="A23" s="2"/>
      <c r="B23" s="2"/>
      <c r="C23" t="s">
        <v>126</v>
      </c>
      <c r="D23" t="s">
        <v>21</v>
      </c>
      <c r="E23" t="b">
        <v>0</v>
      </c>
      <c r="F23" t="b">
        <v>1</v>
      </c>
      <c r="G23" t="s">
        <v>24</v>
      </c>
    </row>
    <row r="24" spans="1:6">
      <c r="A24" s="2"/>
      <c r="B24" s="2"/>
      <c r="C24" t="s">
        <v>216</v>
      </c>
      <c r="D24" t="s">
        <v>59</v>
      </c>
      <c r="E24" t="b">
        <v>0</v>
      </c>
      <c r="F24" t="b">
        <v>0</v>
      </c>
    </row>
    <row r="25" spans="1:6">
      <c r="A25" s="2"/>
      <c r="B25" s="2"/>
      <c r="C25" t="s">
        <v>217</v>
      </c>
      <c r="D25" t="s">
        <v>59</v>
      </c>
      <c r="E25" t="b">
        <v>0</v>
      </c>
      <c r="F25" t="b">
        <v>0</v>
      </c>
    </row>
    <row r="26" spans="1:7">
      <c r="A26" s="2" t="s">
        <v>218</v>
      </c>
      <c r="B26" s="2" t="s">
        <v>219</v>
      </c>
      <c r="C26" t="s">
        <v>20</v>
      </c>
      <c r="D26" t="s">
        <v>21</v>
      </c>
      <c r="E26" t="b">
        <v>0</v>
      </c>
      <c r="F26" t="b">
        <v>1</v>
      </c>
      <c r="G26" t="s">
        <v>22</v>
      </c>
    </row>
    <row r="27" spans="1:7">
      <c r="A27" s="2"/>
      <c r="B27" s="2"/>
      <c r="C27" t="s">
        <v>27</v>
      </c>
      <c r="D27" t="s">
        <v>28</v>
      </c>
      <c r="E27" t="b">
        <v>0</v>
      </c>
      <c r="F27" t="b">
        <v>1</v>
      </c>
      <c r="G27" t="s">
        <v>192</v>
      </c>
    </row>
    <row r="28" spans="1:7">
      <c r="A28" s="2"/>
      <c r="B28" s="2"/>
      <c r="C28" t="s">
        <v>23</v>
      </c>
      <c r="D28" t="s">
        <v>21</v>
      </c>
      <c r="E28" t="b">
        <v>0</v>
      </c>
      <c r="F28" t="b">
        <v>1</v>
      </c>
      <c r="G28" t="s">
        <v>24</v>
      </c>
    </row>
    <row r="29" spans="1:7">
      <c r="A29" s="2"/>
      <c r="B29" s="2"/>
      <c r="C29" t="s">
        <v>220</v>
      </c>
      <c r="D29" t="s">
        <v>28</v>
      </c>
      <c r="E29" s="3" t="b">
        <v>1</v>
      </c>
      <c r="F29" t="b">
        <v>1</v>
      </c>
      <c r="G29" t="s">
        <v>221</v>
      </c>
    </row>
    <row r="30" spans="1:7">
      <c r="A30" s="2"/>
      <c r="B30" s="2"/>
      <c r="C30" t="s">
        <v>222</v>
      </c>
      <c r="D30" t="s">
        <v>59</v>
      </c>
      <c r="E30" s="3" t="b">
        <v>1</v>
      </c>
      <c r="F30" t="b">
        <v>0</v>
      </c>
      <c r="G30" t="s">
        <v>223</v>
      </c>
    </row>
    <row r="31" spans="1:7">
      <c r="A31" s="2"/>
      <c r="B31" s="2"/>
      <c r="C31" t="s">
        <v>224</v>
      </c>
      <c r="D31" t="s">
        <v>59</v>
      </c>
      <c r="E31" s="3" t="b">
        <v>1</v>
      </c>
      <c r="F31" t="b">
        <v>0</v>
      </c>
      <c r="G31" t="s">
        <v>225</v>
      </c>
    </row>
    <row r="32" spans="1:7">
      <c r="A32" s="2"/>
      <c r="B32" s="2"/>
      <c r="C32" t="s">
        <v>226</v>
      </c>
      <c r="D32" t="s">
        <v>59</v>
      </c>
      <c r="E32" s="3" t="b">
        <v>1</v>
      </c>
      <c r="F32" t="b">
        <v>0</v>
      </c>
      <c r="G32" t="s">
        <v>227</v>
      </c>
    </row>
    <row r="33" spans="1:7">
      <c r="A33" s="2"/>
      <c r="B33" s="2"/>
      <c r="C33" t="s">
        <v>228</v>
      </c>
      <c r="D33" t="s">
        <v>59</v>
      </c>
      <c r="E33" s="3" t="b">
        <v>1</v>
      </c>
      <c r="F33" t="b">
        <v>0</v>
      </c>
      <c r="G33" t="s">
        <v>229</v>
      </c>
    </row>
    <row r="34" spans="1:7">
      <c r="A34" s="2"/>
      <c r="B34" s="2"/>
      <c r="C34" t="s">
        <v>230</v>
      </c>
      <c r="D34" t="s">
        <v>59</v>
      </c>
      <c r="E34" s="3" t="b">
        <v>1</v>
      </c>
      <c r="F34" t="b">
        <v>0</v>
      </c>
      <c r="G34" t="s">
        <v>231</v>
      </c>
    </row>
    <row r="35" spans="1:7">
      <c r="A35" s="2"/>
      <c r="B35" s="2"/>
      <c r="C35" t="s">
        <v>232</v>
      </c>
      <c r="D35" t="s">
        <v>59</v>
      </c>
      <c r="E35" s="3" t="b">
        <v>1</v>
      </c>
      <c r="F35" t="b">
        <v>0</v>
      </c>
      <c r="G35" t="s">
        <v>233</v>
      </c>
    </row>
    <row r="36" spans="1:7">
      <c r="A36" s="2"/>
      <c r="B36" s="2"/>
      <c r="C36" t="s">
        <v>234</v>
      </c>
      <c r="D36" t="s">
        <v>59</v>
      </c>
      <c r="E36" s="3" t="b">
        <v>1</v>
      </c>
      <c r="F36" t="b">
        <v>0</v>
      </c>
      <c r="G36" t="s">
        <v>235</v>
      </c>
    </row>
    <row r="37" spans="1:7">
      <c r="A37" s="2"/>
      <c r="B37" s="2"/>
      <c r="C37" t="s">
        <v>236</v>
      </c>
      <c r="D37" t="s">
        <v>59</v>
      </c>
      <c r="E37" s="3" t="b">
        <v>1</v>
      </c>
      <c r="F37" t="b">
        <v>0</v>
      </c>
      <c r="G37" t="s">
        <v>237</v>
      </c>
    </row>
    <row r="38" spans="1:7">
      <c r="A38" s="2"/>
      <c r="B38" s="2"/>
      <c r="C38" t="s">
        <v>238</v>
      </c>
      <c r="D38" t="s">
        <v>59</v>
      </c>
      <c r="E38" s="3" t="b">
        <v>1</v>
      </c>
      <c r="F38" t="b">
        <v>0</v>
      </c>
      <c r="G38" t="s">
        <v>239</v>
      </c>
    </row>
    <row r="39" spans="1:7">
      <c r="A39" s="2"/>
      <c r="B39" s="2"/>
      <c r="C39" t="s">
        <v>240</v>
      </c>
      <c r="D39" t="s">
        <v>59</v>
      </c>
      <c r="E39" s="3" t="b">
        <v>1</v>
      </c>
      <c r="F39" t="b">
        <v>0</v>
      </c>
      <c r="G39" t="s">
        <v>241</v>
      </c>
    </row>
    <row r="40" spans="1:7">
      <c r="A40" s="2"/>
      <c r="B40" s="2"/>
      <c r="C40" t="s">
        <v>242</v>
      </c>
      <c r="D40" t="s">
        <v>59</v>
      </c>
      <c r="E40" s="3" t="b">
        <v>1</v>
      </c>
      <c r="F40" t="b">
        <v>0</v>
      </c>
      <c r="G40" t="s">
        <v>243</v>
      </c>
    </row>
    <row r="41" spans="1:7">
      <c r="A41" s="2"/>
      <c r="B41" s="2"/>
      <c r="C41" t="s">
        <v>244</v>
      </c>
      <c r="D41" t="s">
        <v>59</v>
      </c>
      <c r="E41" s="3" t="b">
        <v>1</v>
      </c>
      <c r="F41" t="b">
        <v>0</v>
      </c>
      <c r="G41" t="s">
        <v>245</v>
      </c>
    </row>
    <row r="42" spans="1:7">
      <c r="A42" s="2"/>
      <c r="B42" s="2"/>
      <c r="C42" t="s">
        <v>246</v>
      </c>
      <c r="D42" t="s">
        <v>59</v>
      </c>
      <c r="E42" s="3" t="b">
        <v>1</v>
      </c>
      <c r="F42" t="b">
        <v>0</v>
      </c>
      <c r="G42" t="s">
        <v>247</v>
      </c>
    </row>
    <row r="43" spans="1:7">
      <c r="A43" s="2"/>
      <c r="B43" s="2"/>
      <c r="C43" t="s">
        <v>248</v>
      </c>
      <c r="D43" t="s">
        <v>59</v>
      </c>
      <c r="E43" s="3" t="b">
        <v>1</v>
      </c>
      <c r="F43" t="b">
        <v>0</v>
      </c>
      <c r="G43" t="s">
        <v>249</v>
      </c>
    </row>
    <row r="44" spans="1:7">
      <c r="A44" s="2"/>
      <c r="B44" s="2"/>
      <c r="C44" t="s">
        <v>250</v>
      </c>
      <c r="D44" t="s">
        <v>59</v>
      </c>
      <c r="E44" s="3" t="b">
        <v>1</v>
      </c>
      <c r="F44" t="b">
        <v>0</v>
      </c>
      <c r="G44" t="s">
        <v>251</v>
      </c>
    </row>
    <row r="45" spans="1:7">
      <c r="A45" s="2"/>
      <c r="B45" s="2"/>
      <c r="C45" t="s">
        <v>252</v>
      </c>
      <c r="D45" t="s">
        <v>59</v>
      </c>
      <c r="E45" s="3" t="b">
        <v>1</v>
      </c>
      <c r="F45" t="b">
        <v>0</v>
      </c>
      <c r="G45" t="s">
        <v>253</v>
      </c>
    </row>
    <row r="46" spans="1:7">
      <c r="A46" s="2"/>
      <c r="B46" s="2"/>
      <c r="C46" t="s">
        <v>254</v>
      </c>
      <c r="D46" t="s">
        <v>31</v>
      </c>
      <c r="E46" s="3" t="b">
        <v>1</v>
      </c>
      <c r="F46" t="b">
        <v>0</v>
      </c>
      <c r="G46" t="s">
        <v>255</v>
      </c>
    </row>
    <row r="47" spans="1:10">
      <c r="A47" s="2"/>
      <c r="B47" s="2"/>
      <c r="C47" t="s">
        <v>256</v>
      </c>
      <c r="D47" t="s">
        <v>68</v>
      </c>
      <c r="E47" s="3" t="b">
        <v>1</v>
      </c>
      <c r="F47" t="b">
        <v>0</v>
      </c>
      <c r="G47" t="s">
        <v>257</v>
      </c>
      <c r="H47" t="s">
        <v>258</v>
      </c>
      <c r="J47">
        <v>3032</v>
      </c>
    </row>
    <row r="48" spans="1:7">
      <c r="A48" s="2" t="s">
        <v>259</v>
      </c>
      <c r="B48" s="2" t="s">
        <v>260</v>
      </c>
      <c r="C48" t="s">
        <v>190</v>
      </c>
      <c r="D48" t="s">
        <v>153</v>
      </c>
      <c r="E48" t="b">
        <v>0</v>
      </c>
      <c r="F48" t="b">
        <v>1</v>
      </c>
      <c r="G48" t="s">
        <v>191</v>
      </c>
    </row>
    <row r="49" spans="1:7">
      <c r="A49" s="2"/>
      <c r="B49" s="2"/>
      <c r="C49" t="s">
        <v>27</v>
      </c>
      <c r="D49" t="s">
        <v>28</v>
      </c>
      <c r="E49" t="b">
        <v>0</v>
      </c>
      <c r="F49" t="b">
        <v>1</v>
      </c>
      <c r="G49" t="s">
        <v>192</v>
      </c>
    </row>
    <row r="50" spans="1:7">
      <c r="A50" s="2"/>
      <c r="B50" s="2"/>
      <c r="C50" t="s">
        <v>23</v>
      </c>
      <c r="D50" t="s">
        <v>21</v>
      </c>
      <c r="E50" t="b">
        <v>0</v>
      </c>
      <c r="F50" t="b">
        <v>0</v>
      </c>
      <c r="G50" t="s">
        <v>24</v>
      </c>
    </row>
    <row r="51" spans="1:7">
      <c r="A51" s="2"/>
      <c r="B51" s="2"/>
      <c r="C51" t="s">
        <v>261</v>
      </c>
      <c r="D51" t="s">
        <v>59</v>
      </c>
      <c r="E51" s="3" t="b">
        <v>1</v>
      </c>
      <c r="F51" t="b">
        <v>0</v>
      </c>
      <c r="G51" t="s">
        <v>262</v>
      </c>
    </row>
    <row r="52" spans="1:7">
      <c r="A52" s="2"/>
      <c r="B52" s="2"/>
      <c r="C52" t="s">
        <v>263</v>
      </c>
      <c r="D52" t="s">
        <v>59</v>
      </c>
      <c r="E52" s="3" t="b">
        <v>1</v>
      </c>
      <c r="F52" t="b">
        <v>0</v>
      </c>
      <c r="G52" t="s">
        <v>264</v>
      </c>
    </row>
    <row r="53" spans="1:7">
      <c r="A53" s="2"/>
      <c r="B53" s="2"/>
      <c r="C53" t="s">
        <v>265</v>
      </c>
      <c r="D53" t="s">
        <v>59</v>
      </c>
      <c r="E53" s="3" t="b">
        <v>1</v>
      </c>
      <c r="F53" t="b">
        <v>0</v>
      </c>
      <c r="G53" t="s">
        <v>266</v>
      </c>
    </row>
    <row r="54" spans="1:7">
      <c r="A54" s="2"/>
      <c r="B54" s="2"/>
      <c r="C54" t="s">
        <v>267</v>
      </c>
      <c r="D54" t="s">
        <v>59</v>
      </c>
      <c r="E54" s="3" t="b">
        <v>1</v>
      </c>
      <c r="F54" t="b">
        <v>0</v>
      </c>
      <c r="G54" t="s">
        <v>268</v>
      </c>
    </row>
    <row r="55" spans="1:7">
      <c r="A55" s="2"/>
      <c r="B55" s="2"/>
      <c r="C55" t="s">
        <v>269</v>
      </c>
      <c r="D55" t="s">
        <v>59</v>
      </c>
      <c r="E55" s="3" t="b">
        <v>1</v>
      </c>
      <c r="F55" t="b">
        <v>0</v>
      </c>
      <c r="G55" t="s">
        <v>270</v>
      </c>
    </row>
    <row r="56" spans="1:7">
      <c r="A56" s="3" t="s">
        <v>271</v>
      </c>
      <c r="B56" s="3" t="s">
        <v>272</v>
      </c>
      <c r="C56" t="s">
        <v>190</v>
      </c>
      <c r="D56" t="s">
        <v>21</v>
      </c>
      <c r="E56" t="b">
        <v>0</v>
      </c>
      <c r="F56" t="b">
        <v>1</v>
      </c>
      <c r="G56" t="s">
        <v>191</v>
      </c>
    </row>
    <row r="57" spans="1:7">
      <c r="A57" s="3"/>
      <c r="B57" s="3"/>
      <c r="C57" t="s">
        <v>27</v>
      </c>
      <c r="D57" t="s">
        <v>28</v>
      </c>
      <c r="E57" t="b">
        <v>0</v>
      </c>
      <c r="F57" t="b">
        <v>0</v>
      </c>
      <c r="G57" t="s">
        <v>192</v>
      </c>
    </row>
    <row r="58" spans="1:7">
      <c r="A58" s="3"/>
      <c r="B58" s="3"/>
      <c r="C58" t="s">
        <v>23</v>
      </c>
      <c r="D58" t="s">
        <v>21</v>
      </c>
      <c r="E58" t="b">
        <v>0</v>
      </c>
      <c r="F58" t="b">
        <v>1</v>
      </c>
      <c r="G58" t="s">
        <v>24</v>
      </c>
    </row>
    <row r="59" spans="1:7">
      <c r="A59" s="3"/>
      <c r="B59" s="3"/>
      <c r="C59" t="s">
        <v>273</v>
      </c>
      <c r="D59" t="s">
        <v>59</v>
      </c>
      <c r="E59" s="3" t="b">
        <v>1</v>
      </c>
      <c r="F59" t="b">
        <v>0</v>
      </c>
      <c r="G59" t="s">
        <v>274</v>
      </c>
    </row>
    <row r="60" spans="1:7">
      <c r="A60" s="3"/>
      <c r="B60" s="3"/>
      <c r="C60" t="s">
        <v>275</v>
      </c>
      <c r="D60" t="s">
        <v>59</v>
      </c>
      <c r="E60" s="3" t="b">
        <v>1</v>
      </c>
      <c r="F60" t="b">
        <v>0</v>
      </c>
      <c r="G60" t="s">
        <v>276</v>
      </c>
    </row>
    <row r="61" spans="1:7">
      <c r="A61" s="3"/>
      <c r="B61" s="3"/>
      <c r="C61" t="s">
        <v>277</v>
      </c>
      <c r="D61" t="s">
        <v>28</v>
      </c>
      <c r="E61" s="3" t="b">
        <v>1</v>
      </c>
      <c r="F61" t="b">
        <v>0</v>
      </c>
      <c r="G61" t="s">
        <v>278</v>
      </c>
    </row>
    <row r="62" spans="1:7">
      <c r="A62" s="3"/>
      <c r="B62" s="3"/>
      <c r="C62" t="s">
        <v>279</v>
      </c>
      <c r="D62" t="s">
        <v>280</v>
      </c>
      <c r="E62" s="3" t="b">
        <v>1</v>
      </c>
      <c r="F62" t="b">
        <v>0</v>
      </c>
      <c r="G62" t="s">
        <v>281</v>
      </c>
    </row>
    <row r="63" spans="1:7">
      <c r="A63" s="3"/>
      <c r="B63" s="3"/>
      <c r="C63" t="s">
        <v>282</v>
      </c>
      <c r="D63" t="s">
        <v>68</v>
      </c>
      <c r="E63" s="3" t="b">
        <v>1</v>
      </c>
      <c r="F63" t="b">
        <v>0</v>
      </c>
      <c r="G63" t="s">
        <v>283</v>
      </c>
    </row>
    <row r="64" ht="18" customHeight="1" spans="1:10">
      <c r="A64" s="3"/>
      <c r="B64" s="3"/>
      <c r="C64" t="s">
        <v>284</v>
      </c>
      <c r="D64" t="s">
        <v>31</v>
      </c>
      <c r="E64" s="3" t="b">
        <v>1</v>
      </c>
      <c r="F64" t="b">
        <v>0</v>
      </c>
      <c r="G64" t="s">
        <v>285</v>
      </c>
      <c r="J64">
        <v>6003</v>
      </c>
    </row>
    <row r="65" ht="18" customHeight="1" spans="1:7">
      <c r="A65" s="3"/>
      <c r="B65" s="3"/>
      <c r="C65" t="s">
        <v>286</v>
      </c>
      <c r="D65" t="s">
        <v>59</v>
      </c>
      <c r="E65" s="3" t="b">
        <v>1</v>
      </c>
      <c r="F65" t="b">
        <v>0</v>
      </c>
      <c r="G65" t="s">
        <v>287</v>
      </c>
    </row>
    <row r="66" spans="1:10">
      <c r="A66" s="3"/>
      <c r="B66" s="3"/>
      <c r="C66" t="s">
        <v>206</v>
      </c>
      <c r="D66" t="s">
        <v>31</v>
      </c>
      <c r="E66" t="b">
        <v>0</v>
      </c>
      <c r="F66" t="b">
        <v>0</v>
      </c>
      <c r="G66" t="s">
        <v>207</v>
      </c>
      <c r="J66">
        <v>6003</v>
      </c>
    </row>
    <row r="67" spans="1:7">
      <c r="A67" s="3" t="s">
        <v>288</v>
      </c>
      <c r="B67" s="3" t="s">
        <v>289</v>
      </c>
      <c r="C67" t="s">
        <v>23</v>
      </c>
      <c r="D67" t="s">
        <v>21</v>
      </c>
      <c r="E67" t="b">
        <v>0</v>
      </c>
      <c r="F67" t="b">
        <v>1</v>
      </c>
      <c r="G67" t="s">
        <v>24</v>
      </c>
    </row>
    <row r="68" spans="1:7">
      <c r="A68" s="3"/>
      <c r="B68" s="3"/>
      <c r="C68" t="s">
        <v>27</v>
      </c>
      <c r="D68" t="s">
        <v>28</v>
      </c>
      <c r="E68" t="b">
        <v>0</v>
      </c>
      <c r="F68" t="b">
        <v>1</v>
      </c>
      <c r="G68" t="s">
        <v>192</v>
      </c>
    </row>
    <row r="69" spans="1:7">
      <c r="A69" s="3"/>
      <c r="B69" s="3"/>
      <c r="C69" t="s">
        <v>20</v>
      </c>
      <c r="D69" t="s">
        <v>21</v>
      </c>
      <c r="E69" t="b">
        <v>0</v>
      </c>
      <c r="F69" t="b">
        <v>1</v>
      </c>
      <c r="G69" t="s">
        <v>22</v>
      </c>
    </row>
    <row r="70" spans="1:7">
      <c r="A70" s="3"/>
      <c r="B70" s="3"/>
      <c r="C70" t="s">
        <v>290</v>
      </c>
      <c r="D70" t="s">
        <v>59</v>
      </c>
      <c r="E70" s="3" t="b">
        <v>1</v>
      </c>
      <c r="F70" t="b">
        <v>0</v>
      </c>
      <c r="G70" t="s">
        <v>291</v>
      </c>
    </row>
    <row r="71" spans="1:12">
      <c r="A71" s="3"/>
      <c r="B71" s="3"/>
      <c r="C71" t="s">
        <v>292</v>
      </c>
      <c r="D71" t="s">
        <v>59</v>
      </c>
      <c r="E71" s="3" t="b">
        <v>1</v>
      </c>
      <c r="F71" t="b">
        <v>0</v>
      </c>
      <c r="G71" t="s">
        <v>293</v>
      </c>
      <c r="L71" t="s">
        <v>294</v>
      </c>
    </row>
    <row r="72" spans="1:7">
      <c r="A72" s="3"/>
      <c r="B72" s="3"/>
      <c r="C72" t="s">
        <v>295</v>
      </c>
      <c r="D72" t="s">
        <v>59</v>
      </c>
      <c r="E72" s="3" t="b">
        <v>1</v>
      </c>
      <c r="F72" t="b">
        <v>0</v>
      </c>
      <c r="G72" t="s">
        <v>296</v>
      </c>
    </row>
    <row r="73" spans="1:7">
      <c r="A73" s="3"/>
      <c r="B73" s="3"/>
      <c r="C73" t="s">
        <v>297</v>
      </c>
      <c r="D73" t="s">
        <v>68</v>
      </c>
      <c r="E73" s="3" t="b">
        <v>1</v>
      </c>
      <c r="F73" t="b">
        <v>0</v>
      </c>
      <c r="G73" t="s">
        <v>298</v>
      </c>
    </row>
    <row r="74" spans="1:7">
      <c r="A74" s="3"/>
      <c r="B74" s="3"/>
      <c r="C74" t="s">
        <v>299</v>
      </c>
      <c r="D74" t="s">
        <v>59</v>
      </c>
      <c r="E74" s="3" t="b">
        <v>1</v>
      </c>
      <c r="F74" t="b">
        <v>0</v>
      </c>
      <c r="G74" t="s">
        <v>300</v>
      </c>
    </row>
    <row r="75" spans="1:7">
      <c r="A75" s="2" t="s">
        <v>301</v>
      </c>
      <c r="B75" s="2" t="s">
        <v>302</v>
      </c>
      <c r="C75" t="s">
        <v>20</v>
      </c>
      <c r="D75" t="s">
        <v>21</v>
      </c>
      <c r="E75" t="b">
        <v>0</v>
      </c>
      <c r="F75" t="b">
        <v>1</v>
      </c>
      <c r="G75" t="s">
        <v>22</v>
      </c>
    </row>
    <row r="76" spans="1:7">
      <c r="A76" s="2"/>
      <c r="B76" s="2"/>
      <c r="C76" t="s">
        <v>27</v>
      </c>
      <c r="D76" t="s">
        <v>28</v>
      </c>
      <c r="E76" t="b">
        <v>0</v>
      </c>
      <c r="F76" t="b">
        <v>1</v>
      </c>
      <c r="G76" t="s">
        <v>192</v>
      </c>
    </row>
    <row r="77" spans="1:7">
      <c r="A77" s="2"/>
      <c r="B77" s="2"/>
      <c r="C77" t="s">
        <v>23</v>
      </c>
      <c r="D77" t="s">
        <v>21</v>
      </c>
      <c r="E77" t="b">
        <v>0</v>
      </c>
      <c r="F77" t="b">
        <v>1</v>
      </c>
      <c r="G77" t="s">
        <v>24</v>
      </c>
    </row>
    <row r="78" spans="1:8">
      <c r="A78" s="2"/>
      <c r="B78" s="2"/>
      <c r="C78" t="s">
        <v>43</v>
      </c>
      <c r="D78" t="s">
        <v>59</v>
      </c>
      <c r="E78" s="3" t="b">
        <v>1</v>
      </c>
      <c r="F78" t="b">
        <v>0</v>
      </c>
      <c r="G78" t="s">
        <v>45</v>
      </c>
      <c r="H78" t="s">
        <v>303</v>
      </c>
    </row>
    <row r="79" ht="12.75" customHeight="1" spans="1:8">
      <c r="A79" s="2"/>
      <c r="B79" s="2"/>
      <c r="C79" t="s">
        <v>67</v>
      </c>
      <c r="D79" t="s">
        <v>68</v>
      </c>
      <c r="E79" s="3" t="b">
        <v>1</v>
      </c>
      <c r="F79" t="b">
        <v>0</v>
      </c>
      <c r="G79" t="s">
        <v>304</v>
      </c>
      <c r="H79" t="s">
        <v>303</v>
      </c>
    </row>
    <row r="80" ht="12.75" customHeight="1" spans="1:8">
      <c r="A80" s="2"/>
      <c r="B80" s="2"/>
      <c r="C80" t="s">
        <v>305</v>
      </c>
      <c r="D80" t="s">
        <v>68</v>
      </c>
      <c r="E80" s="3" t="b">
        <v>1</v>
      </c>
      <c r="F80" t="b">
        <v>0</v>
      </c>
      <c r="G80" t="s">
        <v>306</v>
      </c>
      <c r="H80" t="s">
        <v>303</v>
      </c>
    </row>
    <row r="81" ht="12.75" customHeight="1" spans="1:7">
      <c r="A81" s="2"/>
      <c r="B81" s="2"/>
      <c r="C81" t="s">
        <v>307</v>
      </c>
      <c r="D81" t="s">
        <v>68</v>
      </c>
      <c r="E81" s="3" t="b">
        <v>1</v>
      </c>
      <c r="F81" t="b">
        <v>0</v>
      </c>
      <c r="G81" t="s">
        <v>308</v>
      </c>
    </row>
    <row r="82" ht="12.75" customHeight="1" spans="1:7">
      <c r="A82" s="2"/>
      <c r="B82" s="2"/>
      <c r="C82" t="s">
        <v>309</v>
      </c>
      <c r="D82" t="s">
        <v>68</v>
      </c>
      <c r="E82" s="3" t="b">
        <v>1</v>
      </c>
      <c r="F82" t="b">
        <v>0</v>
      </c>
      <c r="G82" t="s">
        <v>310</v>
      </c>
    </row>
    <row r="83" ht="12.75" customHeight="1" spans="1:8">
      <c r="A83" s="2"/>
      <c r="B83" s="2"/>
      <c r="C83" t="s">
        <v>72</v>
      </c>
      <c r="D83" t="s">
        <v>68</v>
      </c>
      <c r="E83" s="3" t="b">
        <v>1</v>
      </c>
      <c r="F83" t="b">
        <v>0</v>
      </c>
      <c r="G83" t="s">
        <v>311</v>
      </c>
      <c r="H83" t="s">
        <v>303</v>
      </c>
    </row>
    <row r="84" ht="12.75" customHeight="1" spans="1:8">
      <c r="A84" s="2"/>
      <c r="B84" s="2"/>
      <c r="C84" t="s">
        <v>312</v>
      </c>
      <c r="D84" t="s">
        <v>68</v>
      </c>
      <c r="E84" s="3" t="b">
        <v>1</v>
      </c>
      <c r="F84" t="b">
        <v>0</v>
      </c>
      <c r="G84" t="s">
        <v>313</v>
      </c>
      <c r="H84" t="s">
        <v>303</v>
      </c>
    </row>
    <row r="85" spans="1:8">
      <c r="A85" s="2"/>
      <c r="B85" s="2"/>
      <c r="C85" t="s">
        <v>314</v>
      </c>
      <c r="D85" t="s">
        <v>68</v>
      </c>
      <c r="E85" s="3" t="b">
        <v>1</v>
      </c>
      <c r="F85" t="b">
        <v>0</v>
      </c>
      <c r="G85" t="s">
        <v>315</v>
      </c>
      <c r="H85" t="s">
        <v>303</v>
      </c>
    </row>
    <row r="86" spans="1:7">
      <c r="A86" s="2" t="s">
        <v>316</v>
      </c>
      <c r="B86" s="2" t="s">
        <v>317</v>
      </c>
      <c r="C86" t="s">
        <v>20</v>
      </c>
      <c r="D86" t="s">
        <v>21</v>
      </c>
      <c r="E86" t="b">
        <v>0</v>
      </c>
      <c r="F86" t="b">
        <v>1</v>
      </c>
      <c r="G86" t="s">
        <v>22</v>
      </c>
    </row>
    <row r="87" spans="1:7">
      <c r="A87" s="2"/>
      <c r="B87" s="2"/>
      <c r="C87" t="s">
        <v>27</v>
      </c>
      <c r="D87" t="s">
        <v>28</v>
      </c>
      <c r="E87" t="b">
        <v>0</v>
      </c>
      <c r="F87" t="b">
        <v>1</v>
      </c>
      <c r="G87" t="s">
        <v>192</v>
      </c>
    </row>
    <row r="88" spans="1:7">
      <c r="A88" s="2"/>
      <c r="B88" s="2"/>
      <c r="C88" t="s">
        <v>23</v>
      </c>
      <c r="D88" t="s">
        <v>21</v>
      </c>
      <c r="E88" t="b">
        <v>0</v>
      </c>
      <c r="F88" t="b">
        <v>1</v>
      </c>
      <c r="G88" t="s">
        <v>24</v>
      </c>
    </row>
    <row r="89" spans="1:10">
      <c r="A89" s="2"/>
      <c r="B89" s="2"/>
      <c r="C89" t="s">
        <v>318</v>
      </c>
      <c r="D89" t="s">
        <v>31</v>
      </c>
      <c r="E89" t="b">
        <v>0</v>
      </c>
      <c r="F89" t="b">
        <v>1</v>
      </c>
      <c r="G89" t="s">
        <v>319</v>
      </c>
      <c r="J89">
        <v>6014</v>
      </c>
    </row>
    <row r="90" spans="1:8">
      <c r="A90" s="2"/>
      <c r="B90" s="2"/>
      <c r="C90" t="s">
        <v>320</v>
      </c>
      <c r="D90" t="s">
        <v>59</v>
      </c>
      <c r="E90" s="3" t="b">
        <v>1</v>
      </c>
      <c r="F90" t="b">
        <v>0</v>
      </c>
      <c r="G90" t="s">
        <v>321</v>
      </c>
      <c r="H90" t="s">
        <v>322</v>
      </c>
    </row>
    <row r="91" ht="23.25" customHeight="1" spans="1:7">
      <c r="A91" s="4" t="s">
        <v>323</v>
      </c>
      <c r="B91" s="2" t="s">
        <v>324</v>
      </c>
      <c r="C91" t="s">
        <v>20</v>
      </c>
      <c r="D91" t="s">
        <v>21</v>
      </c>
      <c r="E91" t="b">
        <v>0</v>
      </c>
      <c r="F91" t="b">
        <v>1</v>
      </c>
      <c r="G91" t="s">
        <v>22</v>
      </c>
    </row>
    <row r="92" ht="23.25" customHeight="1" spans="1:7">
      <c r="A92" s="4"/>
      <c r="B92" s="2"/>
      <c r="C92" t="s">
        <v>27</v>
      </c>
      <c r="D92" t="s">
        <v>28</v>
      </c>
      <c r="E92" t="b">
        <v>0</v>
      </c>
      <c r="F92" t="b">
        <v>1</v>
      </c>
      <c r="G92" t="s">
        <v>192</v>
      </c>
    </row>
    <row r="93" spans="1:7">
      <c r="A93" s="4"/>
      <c r="B93" s="2"/>
      <c r="C93" t="s">
        <v>23</v>
      </c>
      <c r="D93" t="s">
        <v>21</v>
      </c>
      <c r="E93" t="b">
        <v>0</v>
      </c>
      <c r="F93" t="b">
        <v>1</v>
      </c>
      <c r="G93" t="s">
        <v>24</v>
      </c>
    </row>
    <row r="94" spans="1:10">
      <c r="A94" s="4"/>
      <c r="B94" s="2"/>
      <c r="C94" t="s">
        <v>325</v>
      </c>
      <c r="D94" t="s">
        <v>31</v>
      </c>
      <c r="E94" t="b">
        <v>0</v>
      </c>
      <c r="F94" t="b">
        <v>0</v>
      </c>
      <c r="G94" t="s">
        <v>326</v>
      </c>
      <c r="J94">
        <v>6015</v>
      </c>
    </row>
    <row r="95" spans="1:10">
      <c r="A95" s="4"/>
      <c r="B95" s="2"/>
      <c r="C95" t="s">
        <v>327</v>
      </c>
      <c r="D95" t="s">
        <v>31</v>
      </c>
      <c r="E95" t="b">
        <v>0</v>
      </c>
      <c r="F95" t="b">
        <v>0</v>
      </c>
      <c r="G95" t="s">
        <v>328</v>
      </c>
      <c r="J95">
        <v>6016</v>
      </c>
    </row>
    <row r="96" spans="1:8">
      <c r="A96" s="4"/>
      <c r="B96" s="2"/>
      <c r="C96" t="s">
        <v>320</v>
      </c>
      <c r="D96" t="s">
        <v>59</v>
      </c>
      <c r="E96" t="b">
        <v>0</v>
      </c>
      <c r="F96" t="b">
        <v>0</v>
      </c>
      <c r="G96" t="s">
        <v>329</v>
      </c>
      <c r="H96" t="s">
        <v>322</v>
      </c>
    </row>
    <row r="97" spans="1:7">
      <c r="A97" s="3" t="s">
        <v>330</v>
      </c>
      <c r="B97" s="3" t="s">
        <v>331</v>
      </c>
      <c r="C97" t="s">
        <v>20</v>
      </c>
      <c r="D97" t="s">
        <v>21</v>
      </c>
      <c r="E97" t="b">
        <v>0</v>
      </c>
      <c r="F97" t="b">
        <v>1</v>
      </c>
      <c r="G97" t="s">
        <v>22</v>
      </c>
    </row>
    <row r="98" spans="1:7">
      <c r="A98" s="3"/>
      <c r="B98" s="3"/>
      <c r="C98" t="s">
        <v>27</v>
      </c>
      <c r="D98" t="s">
        <v>28</v>
      </c>
      <c r="E98" t="b">
        <v>0</v>
      </c>
      <c r="F98" t="b">
        <v>1</v>
      </c>
      <c r="G98" t="s">
        <v>22</v>
      </c>
    </row>
    <row r="99" spans="1:7">
      <c r="A99" s="3"/>
      <c r="B99" s="3"/>
      <c r="C99" t="s">
        <v>126</v>
      </c>
      <c r="D99" t="s">
        <v>21</v>
      </c>
      <c r="E99" t="b">
        <v>0</v>
      </c>
      <c r="F99" t="b">
        <v>1</v>
      </c>
      <c r="G99" t="s">
        <v>22</v>
      </c>
    </row>
    <row r="100" spans="1:10">
      <c r="A100" s="3"/>
      <c r="B100" s="3"/>
      <c r="C100" t="s">
        <v>50</v>
      </c>
      <c r="D100" t="s">
        <v>59</v>
      </c>
      <c r="E100" t="b">
        <v>1</v>
      </c>
      <c r="F100" t="b">
        <v>0</v>
      </c>
      <c r="G100" t="s">
        <v>332</v>
      </c>
      <c r="J100" t="s">
        <v>333</v>
      </c>
    </row>
    <row r="101" spans="1:10">
      <c r="A101" s="3"/>
      <c r="B101" s="3"/>
      <c r="C101" t="s">
        <v>334</v>
      </c>
      <c r="D101" t="s">
        <v>59</v>
      </c>
      <c r="E101" t="b">
        <v>1</v>
      </c>
      <c r="F101" t="b">
        <v>0</v>
      </c>
      <c r="G101" t="s">
        <v>335</v>
      </c>
      <c r="J101" t="s">
        <v>333</v>
      </c>
    </row>
    <row r="102" spans="1:10">
      <c r="A102" s="3"/>
      <c r="B102" s="3"/>
      <c r="C102" t="s">
        <v>336</v>
      </c>
      <c r="D102" t="s">
        <v>59</v>
      </c>
      <c r="E102" t="b">
        <v>1</v>
      </c>
      <c r="F102" t="b">
        <v>0</v>
      </c>
      <c r="G102" t="s">
        <v>337</v>
      </c>
      <c r="J102" t="s">
        <v>333</v>
      </c>
    </row>
    <row r="103" spans="1:10">
      <c r="A103" s="3"/>
      <c r="B103" s="3"/>
      <c r="C103" t="s">
        <v>43</v>
      </c>
      <c r="D103" t="s">
        <v>59</v>
      </c>
      <c r="E103" t="b">
        <v>1</v>
      </c>
      <c r="F103" t="b">
        <v>0</v>
      </c>
      <c r="G103" t="s">
        <v>45</v>
      </c>
      <c r="J103" t="s">
        <v>338</v>
      </c>
    </row>
    <row r="104" spans="1:10">
      <c r="A104" s="3"/>
      <c r="B104" s="3"/>
      <c r="C104" t="s">
        <v>339</v>
      </c>
      <c r="D104" t="s">
        <v>59</v>
      </c>
      <c r="E104" t="b">
        <v>1</v>
      </c>
      <c r="F104" t="b">
        <v>0</v>
      </c>
      <c r="G104" t="s">
        <v>340</v>
      </c>
      <c r="J104" t="s">
        <v>338</v>
      </c>
    </row>
    <row r="105" spans="1:10">
      <c r="A105" s="3"/>
      <c r="B105" s="3"/>
      <c r="C105" t="s">
        <v>341</v>
      </c>
      <c r="D105" t="s">
        <v>59</v>
      </c>
      <c r="E105" t="b">
        <v>1</v>
      </c>
      <c r="F105" t="b">
        <v>0</v>
      </c>
      <c r="G105" t="s">
        <v>342</v>
      </c>
      <c r="J105" t="s">
        <v>338</v>
      </c>
    </row>
    <row r="106" spans="1:7">
      <c r="A106" s="3"/>
      <c r="B106" s="3"/>
      <c r="C106" t="s">
        <v>74</v>
      </c>
      <c r="D106" t="s">
        <v>68</v>
      </c>
      <c r="E106" t="b">
        <v>1</v>
      </c>
      <c r="F106" t="b">
        <v>0</v>
      </c>
      <c r="G106" t="s">
        <v>75</v>
      </c>
    </row>
    <row r="107" spans="1:7">
      <c r="A107" s="3"/>
      <c r="B107" s="3"/>
      <c r="C107" t="s">
        <v>72</v>
      </c>
      <c r="D107" t="s">
        <v>68</v>
      </c>
      <c r="E107" t="b">
        <v>1</v>
      </c>
      <c r="F107" t="b">
        <v>0</v>
      </c>
      <c r="G107" t="s">
        <v>343</v>
      </c>
    </row>
    <row r="108" spans="1:10">
      <c r="A108" s="3"/>
      <c r="B108" s="3"/>
      <c r="C108" t="s">
        <v>80</v>
      </c>
      <c r="D108" t="s">
        <v>68</v>
      </c>
      <c r="E108" t="b">
        <v>1</v>
      </c>
      <c r="F108" t="b">
        <v>0</v>
      </c>
      <c r="G108" t="s">
        <v>344</v>
      </c>
      <c r="J108" t="s">
        <v>345</v>
      </c>
    </row>
    <row r="109" spans="1:10">
      <c r="A109" s="3"/>
      <c r="B109" s="3"/>
      <c r="C109" t="s">
        <v>78</v>
      </c>
      <c r="D109" t="s">
        <v>68</v>
      </c>
      <c r="E109" t="b">
        <v>1</v>
      </c>
      <c r="F109" t="b">
        <v>0</v>
      </c>
      <c r="G109" t="s">
        <v>346</v>
      </c>
      <c r="J109" t="s">
        <v>345</v>
      </c>
    </row>
    <row r="110" spans="1:10">
      <c r="A110" s="3"/>
      <c r="B110" s="3"/>
      <c r="C110" t="s">
        <v>61</v>
      </c>
      <c r="D110" t="s">
        <v>59</v>
      </c>
      <c r="E110" t="b">
        <v>1</v>
      </c>
      <c r="F110" t="b">
        <v>0</v>
      </c>
      <c r="G110" t="s">
        <v>62</v>
      </c>
      <c r="J110" t="s">
        <v>345</v>
      </c>
    </row>
    <row r="111" spans="1:10">
      <c r="A111" s="3"/>
      <c r="B111" s="3"/>
      <c r="C111" t="s">
        <v>347</v>
      </c>
      <c r="D111" t="s">
        <v>68</v>
      </c>
      <c r="E111" t="b">
        <v>1</v>
      </c>
      <c r="F111" t="b">
        <v>0</v>
      </c>
      <c r="G111" t="s">
        <v>69</v>
      </c>
      <c r="J111" t="s">
        <v>348</v>
      </c>
    </row>
  </sheetData>
  <mergeCells count="22">
    <mergeCell ref="A2:A13"/>
    <mergeCell ref="A14:A20"/>
    <mergeCell ref="A21:A25"/>
    <mergeCell ref="A26:A47"/>
    <mergeCell ref="A48:A55"/>
    <mergeCell ref="A56:A66"/>
    <mergeCell ref="A67:A74"/>
    <mergeCell ref="A75:A85"/>
    <mergeCell ref="A86:A90"/>
    <mergeCell ref="A91:A96"/>
    <mergeCell ref="A97:A111"/>
    <mergeCell ref="B2:B13"/>
    <mergeCell ref="B14:B20"/>
    <mergeCell ref="B21:B25"/>
    <mergeCell ref="B26:B47"/>
    <mergeCell ref="B48:B55"/>
    <mergeCell ref="B56:B66"/>
    <mergeCell ref="B67:B74"/>
    <mergeCell ref="B75:B85"/>
    <mergeCell ref="B86:B90"/>
    <mergeCell ref="B91:B96"/>
    <mergeCell ref="B97:B111"/>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selection activeCell="B42" sqref="B42"/>
    </sheetView>
  </sheetViews>
  <sheetFormatPr defaultColWidth="9" defaultRowHeight="14.25"/>
  <cols>
    <col min="1" max="1" width="26.875" customWidth="1"/>
    <col min="2" max="2" width="17" customWidth="1"/>
    <col min="3" max="3" width="25.5" customWidth="1"/>
    <col min="4" max="4" width="21.5" customWidth="1"/>
    <col min="8" max="8" width="19.125" customWidth="1"/>
  </cols>
  <sheetData>
    <row r="1" spans="1:12">
      <c r="A1" t="s">
        <v>5</v>
      </c>
      <c r="B1" t="s">
        <v>6</v>
      </c>
      <c r="C1" t="s">
        <v>7</v>
      </c>
      <c r="D1" t="s">
        <v>8</v>
      </c>
      <c r="E1" t="s">
        <v>9</v>
      </c>
      <c r="F1" t="s">
        <v>10</v>
      </c>
      <c r="G1" t="s">
        <v>11</v>
      </c>
      <c r="H1" t="s">
        <v>12</v>
      </c>
      <c r="I1" t="s">
        <v>13</v>
      </c>
      <c r="J1" t="s">
        <v>14</v>
      </c>
      <c r="K1" t="s">
        <v>15</v>
      </c>
      <c r="L1" t="s">
        <v>16</v>
      </c>
    </row>
    <row r="2" spans="1:7">
      <c r="A2" s="2" t="s">
        <v>349</v>
      </c>
      <c r="B2" s="2" t="s">
        <v>350</v>
      </c>
      <c r="C2" t="s">
        <v>20</v>
      </c>
      <c r="D2" t="s">
        <v>21</v>
      </c>
      <c r="E2" t="b">
        <v>0</v>
      </c>
      <c r="F2" t="b">
        <v>1</v>
      </c>
      <c r="G2" t="s">
        <v>22</v>
      </c>
    </row>
    <row r="3" spans="1:7">
      <c r="A3" s="2"/>
      <c r="B3" s="2"/>
      <c r="C3" t="s">
        <v>27</v>
      </c>
      <c r="D3" t="s">
        <v>28</v>
      </c>
      <c r="E3" t="b">
        <v>0</v>
      </c>
      <c r="F3" t="b">
        <v>1</v>
      </c>
      <c r="G3" t="s">
        <v>351</v>
      </c>
    </row>
    <row r="4" spans="1:12">
      <c r="A4" s="2"/>
      <c r="B4" s="2"/>
      <c r="C4" t="s">
        <v>352</v>
      </c>
      <c r="D4" t="s">
        <v>28</v>
      </c>
      <c r="E4" t="b">
        <v>1</v>
      </c>
      <c r="F4" t="b">
        <v>0</v>
      </c>
      <c r="G4" t="s">
        <v>353</v>
      </c>
      <c r="L4" t="s">
        <v>354</v>
      </c>
    </row>
    <row r="5" spans="1:7">
      <c r="A5" s="2"/>
      <c r="B5" s="2"/>
      <c r="C5" t="s">
        <v>355</v>
      </c>
      <c r="D5" t="s">
        <v>28</v>
      </c>
      <c r="E5" t="b">
        <v>1</v>
      </c>
      <c r="F5" t="b">
        <v>0</v>
      </c>
      <c r="G5" t="s">
        <v>356</v>
      </c>
    </row>
    <row r="6" spans="1:7">
      <c r="A6" s="2"/>
      <c r="B6" s="2"/>
      <c r="C6" t="s">
        <v>357</v>
      </c>
      <c r="D6" t="s">
        <v>28</v>
      </c>
      <c r="E6" t="b">
        <v>1</v>
      </c>
      <c r="F6" t="b">
        <v>0</v>
      </c>
      <c r="G6" t="s">
        <v>358</v>
      </c>
    </row>
    <row r="7" spans="1:7">
      <c r="A7" s="2"/>
      <c r="B7" s="2"/>
      <c r="C7" t="s">
        <v>359</v>
      </c>
      <c r="D7" t="s">
        <v>28</v>
      </c>
      <c r="E7" t="b">
        <v>1</v>
      </c>
      <c r="F7" t="b">
        <v>0</v>
      </c>
      <c r="G7" t="s">
        <v>360</v>
      </c>
    </row>
    <row r="8" spans="1:7">
      <c r="A8" s="2"/>
      <c r="B8" s="2"/>
      <c r="C8" t="s">
        <v>361</v>
      </c>
      <c r="D8" t="s">
        <v>28</v>
      </c>
      <c r="E8" t="b">
        <v>1</v>
      </c>
      <c r="F8" t="b">
        <v>0</v>
      </c>
      <c r="G8" t="s">
        <v>362</v>
      </c>
    </row>
    <row r="9" spans="1:10">
      <c r="A9" s="2"/>
      <c r="B9" s="2"/>
      <c r="C9" t="s">
        <v>363</v>
      </c>
      <c r="D9" t="s">
        <v>31</v>
      </c>
      <c r="E9" t="b">
        <v>1</v>
      </c>
      <c r="F9" t="b">
        <v>0</v>
      </c>
      <c r="G9" t="s">
        <v>364</v>
      </c>
      <c r="J9">
        <v>6003</v>
      </c>
    </row>
    <row r="10" spans="1:7">
      <c r="A10" s="2"/>
      <c r="B10" s="2"/>
      <c r="C10" t="s">
        <v>365</v>
      </c>
      <c r="D10" t="s">
        <v>28</v>
      </c>
      <c r="E10" t="b">
        <v>1</v>
      </c>
      <c r="F10" t="b">
        <v>0</v>
      </c>
      <c r="G10" t="s">
        <v>366</v>
      </c>
    </row>
    <row r="11" spans="1:7">
      <c r="A11" s="2" t="s">
        <v>367</v>
      </c>
      <c r="B11" s="2" t="s">
        <v>368</v>
      </c>
      <c r="C11" t="s">
        <v>20</v>
      </c>
      <c r="D11" t="s">
        <v>21</v>
      </c>
      <c r="E11" t="b">
        <v>0</v>
      </c>
      <c r="F11" t="b">
        <v>0</v>
      </c>
      <c r="G11" t="s">
        <v>22</v>
      </c>
    </row>
    <row r="12" spans="1:7">
      <c r="A12" s="2"/>
      <c r="B12" s="2"/>
      <c r="C12" t="s">
        <v>27</v>
      </c>
      <c r="D12" t="s">
        <v>28</v>
      </c>
      <c r="E12" t="b">
        <v>0</v>
      </c>
      <c r="F12" t="b">
        <v>0</v>
      </c>
      <c r="G12" t="s">
        <v>351</v>
      </c>
    </row>
    <row r="13" spans="1:7">
      <c r="A13" s="2"/>
      <c r="B13" s="2"/>
      <c r="C13" t="s">
        <v>369</v>
      </c>
      <c r="D13" t="s">
        <v>21</v>
      </c>
      <c r="E13" t="b">
        <v>0</v>
      </c>
      <c r="F13" t="b">
        <v>0</v>
      </c>
      <c r="G13" t="s">
        <v>370</v>
      </c>
    </row>
    <row r="14" spans="1:7">
      <c r="A14" s="2"/>
      <c r="B14" s="2"/>
      <c r="C14" t="s">
        <v>371</v>
      </c>
      <c r="D14" t="s">
        <v>68</v>
      </c>
      <c r="E14" t="b">
        <v>1</v>
      </c>
      <c r="F14" t="b">
        <v>0</v>
      </c>
      <c r="G14" t="s">
        <v>372</v>
      </c>
    </row>
    <row r="15" spans="1:7">
      <c r="A15" s="3" t="s">
        <v>373</v>
      </c>
      <c r="B15" s="3" t="s">
        <v>374</v>
      </c>
      <c r="C15" t="s">
        <v>375</v>
      </c>
      <c r="D15" t="s">
        <v>21</v>
      </c>
      <c r="E15" t="b">
        <v>0</v>
      </c>
      <c r="F15" t="b">
        <v>1</v>
      </c>
      <c r="G15" t="s">
        <v>376</v>
      </c>
    </row>
    <row r="16" spans="1:7">
      <c r="A16" s="3"/>
      <c r="B16" s="3"/>
      <c r="C16" t="s">
        <v>27</v>
      </c>
      <c r="D16" t="s">
        <v>28</v>
      </c>
      <c r="E16" t="b">
        <v>0</v>
      </c>
      <c r="F16" t="b">
        <v>1</v>
      </c>
      <c r="G16" t="s">
        <v>351</v>
      </c>
    </row>
    <row r="17" spans="1:10">
      <c r="A17" s="3"/>
      <c r="B17" s="3"/>
      <c r="C17" t="s">
        <v>377</v>
      </c>
      <c r="D17" t="s">
        <v>68</v>
      </c>
      <c r="E17" t="b">
        <v>0</v>
      </c>
      <c r="F17" t="b">
        <v>0</v>
      </c>
      <c r="G17" t="s">
        <v>378</v>
      </c>
      <c r="J17">
        <v>6003</v>
      </c>
    </row>
    <row r="18" spans="1:7">
      <c r="A18" s="3"/>
      <c r="B18" s="3"/>
      <c r="C18" t="s">
        <v>379</v>
      </c>
      <c r="D18" t="s">
        <v>143</v>
      </c>
      <c r="E18" t="b">
        <v>0</v>
      </c>
      <c r="F18" t="b">
        <v>0</v>
      </c>
      <c r="G18" t="s">
        <v>32</v>
      </c>
    </row>
    <row r="19" spans="1:12">
      <c r="A19" s="3" t="s">
        <v>380</v>
      </c>
      <c r="B19" s="3" t="s">
        <v>381</v>
      </c>
      <c r="C19" t="s">
        <v>190</v>
      </c>
      <c r="D19" t="s">
        <v>21</v>
      </c>
      <c r="E19" t="b">
        <v>0</v>
      </c>
      <c r="F19" t="b">
        <v>1</v>
      </c>
      <c r="L19" t="s">
        <v>382</v>
      </c>
    </row>
    <row r="20" spans="1:6">
      <c r="A20" s="3"/>
      <c r="B20" s="3"/>
      <c r="C20" t="s">
        <v>20</v>
      </c>
      <c r="D20" t="s">
        <v>21</v>
      </c>
      <c r="E20" t="b">
        <v>0</v>
      </c>
      <c r="F20" t="b">
        <v>1</v>
      </c>
    </row>
    <row r="21" spans="1:7">
      <c r="A21" s="3"/>
      <c r="B21" s="3"/>
      <c r="C21" t="s">
        <v>383</v>
      </c>
      <c r="D21" t="s">
        <v>384</v>
      </c>
      <c r="E21" t="b">
        <v>0</v>
      </c>
      <c r="F21" t="b">
        <v>0</v>
      </c>
      <c r="G21" t="s">
        <v>385</v>
      </c>
    </row>
    <row r="22" spans="1:7">
      <c r="A22" s="3"/>
      <c r="B22" s="3"/>
      <c r="C22" t="s">
        <v>27</v>
      </c>
      <c r="D22" t="s">
        <v>28</v>
      </c>
      <c r="E22" t="b">
        <v>0</v>
      </c>
      <c r="F22" t="b">
        <v>1</v>
      </c>
      <c r="G22" t="s">
        <v>386</v>
      </c>
    </row>
    <row r="23" spans="1:6">
      <c r="A23" s="3" t="s">
        <v>387</v>
      </c>
      <c r="B23" s="3" t="s">
        <v>388</v>
      </c>
      <c r="C23" t="s">
        <v>190</v>
      </c>
      <c r="D23" t="s">
        <v>21</v>
      </c>
      <c r="E23" t="b">
        <v>0</v>
      </c>
      <c r="F23" t="b">
        <v>1</v>
      </c>
    </row>
    <row r="24" spans="1:6">
      <c r="A24" s="3"/>
      <c r="B24" s="3"/>
      <c r="C24" t="s">
        <v>20</v>
      </c>
      <c r="D24" t="s">
        <v>21</v>
      </c>
      <c r="E24" t="b">
        <v>0</v>
      </c>
      <c r="F24" t="b">
        <v>1</v>
      </c>
    </row>
    <row r="25" spans="1:7">
      <c r="A25" s="3"/>
      <c r="B25" s="3"/>
      <c r="C25" t="s">
        <v>383</v>
      </c>
      <c r="D25" t="s">
        <v>384</v>
      </c>
      <c r="E25" t="b">
        <v>0</v>
      </c>
      <c r="F25" t="b">
        <v>0</v>
      </c>
      <c r="G25" t="s">
        <v>385</v>
      </c>
    </row>
    <row r="26" spans="1:7">
      <c r="A26" s="3"/>
      <c r="B26" s="3"/>
      <c r="C26" t="s">
        <v>27</v>
      </c>
      <c r="D26" t="s">
        <v>28</v>
      </c>
      <c r="E26" t="b">
        <v>0</v>
      </c>
      <c r="F26" t="b">
        <v>1</v>
      </c>
      <c r="G26" t="s">
        <v>386</v>
      </c>
    </row>
  </sheetData>
  <mergeCells count="10">
    <mergeCell ref="A2:A10"/>
    <mergeCell ref="A11:A14"/>
    <mergeCell ref="A15:A18"/>
    <mergeCell ref="A19:A22"/>
    <mergeCell ref="A23:A26"/>
    <mergeCell ref="B2:B10"/>
    <mergeCell ref="B11:B14"/>
    <mergeCell ref="B15:B18"/>
    <mergeCell ref="B19:B22"/>
    <mergeCell ref="B23:B2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C5" sqref="C5"/>
    </sheetView>
  </sheetViews>
  <sheetFormatPr defaultColWidth="9" defaultRowHeight="14.25" outlineLevelCol="2"/>
  <cols>
    <col min="1" max="1" width="45.875" customWidth="1"/>
    <col min="2" max="2" width="32.125" customWidth="1"/>
  </cols>
  <sheetData>
    <row r="1" spans="1:3">
      <c r="A1" t="s">
        <v>389</v>
      </c>
      <c r="B1" t="s">
        <v>320</v>
      </c>
      <c r="C1" t="s">
        <v>390</v>
      </c>
    </row>
    <row r="2" ht="28.5" spans="1:3">
      <c r="A2">
        <v>6001</v>
      </c>
      <c r="B2" s="1" t="s">
        <v>391</v>
      </c>
      <c r="C2" t="s">
        <v>392</v>
      </c>
    </row>
    <row r="3" ht="57" spans="1:3">
      <c r="A3">
        <v>6002</v>
      </c>
      <c r="B3" s="1" t="s">
        <v>393</v>
      </c>
      <c r="C3" t="s">
        <v>394</v>
      </c>
    </row>
    <row r="4" ht="28.5" spans="1:3">
      <c r="A4">
        <v>6003</v>
      </c>
      <c r="B4" s="1" t="s">
        <v>395</v>
      </c>
      <c r="C4" t="s">
        <v>396</v>
      </c>
    </row>
    <row r="5" ht="171" spans="1:3">
      <c r="A5">
        <v>6004</v>
      </c>
      <c r="B5" s="1" t="s">
        <v>397</v>
      </c>
      <c r="C5" t="s">
        <v>398</v>
      </c>
    </row>
    <row r="6" ht="28.5" spans="1:3">
      <c r="A6">
        <v>6005</v>
      </c>
      <c r="B6" s="1" t="s">
        <v>399</v>
      </c>
      <c r="C6" t="s">
        <v>400</v>
      </c>
    </row>
    <row r="7" ht="28.5" spans="1:3">
      <c r="A7">
        <v>6006</v>
      </c>
      <c r="B7" s="1" t="s">
        <v>401</v>
      </c>
      <c r="C7" t="s">
        <v>402</v>
      </c>
    </row>
    <row r="8" ht="42.75" spans="1:3">
      <c r="A8">
        <v>6007</v>
      </c>
      <c r="B8" s="1" t="s">
        <v>403</v>
      </c>
      <c r="C8" t="s">
        <v>404</v>
      </c>
    </row>
    <row r="9" ht="42.75" spans="1:3">
      <c r="A9">
        <v>6008</v>
      </c>
      <c r="B9" s="1" t="s">
        <v>405</v>
      </c>
      <c r="C9" t="s">
        <v>406</v>
      </c>
    </row>
    <row r="10" ht="71.25" spans="1:3">
      <c r="A10">
        <v>6010</v>
      </c>
      <c r="B10" s="1" t="s">
        <v>407</v>
      </c>
      <c r="C10" t="s">
        <v>408</v>
      </c>
    </row>
    <row r="11" ht="42.75" spans="1:3">
      <c r="A11">
        <v>6011</v>
      </c>
      <c r="B11" s="1" t="s">
        <v>409</v>
      </c>
      <c r="C11" t="s">
        <v>410</v>
      </c>
    </row>
    <row r="12" ht="85.5" spans="1:3">
      <c r="A12">
        <v>6012</v>
      </c>
      <c r="B12" s="1" t="s">
        <v>411</v>
      </c>
      <c r="C12" t="s">
        <v>412</v>
      </c>
    </row>
    <row r="13" ht="99.75" spans="1:2">
      <c r="A13">
        <v>6014</v>
      </c>
      <c r="B13" s="1" t="s">
        <v>413</v>
      </c>
    </row>
    <row r="14" ht="28.5" spans="1:2">
      <c r="A14">
        <v>6015</v>
      </c>
      <c r="B14" s="1" t="s">
        <v>414</v>
      </c>
    </row>
    <row r="15" ht="185.25" spans="1:2">
      <c r="A15">
        <v>6016</v>
      </c>
      <c r="B15" s="1" t="s">
        <v>415</v>
      </c>
    </row>
    <row r="16" ht="42.75" spans="1:3">
      <c r="A16">
        <v>6018</v>
      </c>
      <c r="B16" s="1" t="s">
        <v>416</v>
      </c>
      <c r="C16" t="s">
        <v>417</v>
      </c>
    </row>
    <row r="17" spans="2:2">
      <c r="B17" s="1"/>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说明</vt:lpstr>
      <vt:lpstr>入参表-通用</vt:lpstr>
      <vt:lpstr>默认参数配置表-通用</vt:lpstr>
      <vt:lpstr>输出表-通用</vt:lpstr>
      <vt:lpstr>数据检查表-生产</vt:lpstr>
      <vt:lpstr>枚举值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2015-06-05T18:19:00Z</dcterms:created>
  <dcterms:modified xsi:type="dcterms:W3CDTF">2024-02-28T08:15:30Z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